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DomaniRx\PART D ACCUMULATOR\"/>
    </mc:Choice>
  </mc:AlternateContent>
  <bookViews>
    <workbookView xWindow="0" yWindow="50" windowWidth="11700" windowHeight="7700" tabRatio="699"/>
  </bookViews>
  <sheets>
    <sheet name="R-YYY max ALL" sheetId="48" r:id="rId1"/>
    <sheet name="R-YYY max ALL SDD" sheetId="54" r:id="rId2"/>
    <sheet name="R-YYY max ICCG" sheetId="59" r:id="rId3"/>
    <sheet name="R-YYY max ICCG SDD" sheetId="60" r:id="rId4"/>
    <sheet name="R-YYY max DDIC" sheetId="61" r:id="rId5"/>
    <sheet name="R-YYY max DDIC SDD" sheetId="62" r:id="rId6"/>
    <sheet name="F-YYY max ALL" sheetId="63" r:id="rId7"/>
    <sheet name="F-YYY max ALL SDD" sheetId="64" r:id="rId8"/>
  </sheets>
  <calcPr calcId="162913" fullPrecision="0"/>
</workbook>
</file>

<file path=xl/calcChain.xml><?xml version="1.0" encoding="utf-8"?>
<calcChain xmlns="http://schemas.openxmlformats.org/spreadsheetml/2006/main">
  <c r="L30" i="59" l="1"/>
  <c r="K35" i="62" l="1"/>
  <c r="M17" i="62" l="1"/>
  <c r="M18" i="62"/>
  <c r="C33" i="64" l="1"/>
  <c r="C43" i="64" s="1"/>
  <c r="C52" i="64"/>
  <c r="C51" i="64"/>
  <c r="C50" i="64"/>
  <c r="C48" i="64"/>
  <c r="C45" i="64"/>
  <c r="C42" i="64"/>
  <c r="C40" i="64"/>
  <c r="E52" i="64"/>
  <c r="E51" i="64"/>
  <c r="E50" i="64"/>
  <c r="E48" i="64"/>
  <c r="E45" i="64"/>
  <c r="E46" i="64"/>
  <c r="E43" i="64"/>
  <c r="E42" i="64"/>
  <c r="E41" i="64"/>
  <c r="E40" i="64"/>
  <c r="G52" i="64"/>
  <c r="G51" i="64"/>
  <c r="G50" i="64"/>
  <c r="G48" i="64"/>
  <c r="G45" i="64"/>
  <c r="G44" i="64"/>
  <c r="G42" i="64"/>
  <c r="G41" i="64"/>
  <c r="G43" i="64" s="1"/>
  <c r="G40" i="64"/>
  <c r="I52" i="64"/>
  <c r="I51" i="64"/>
  <c r="I50" i="64"/>
  <c r="I48" i="64"/>
  <c r="I45" i="64"/>
  <c r="I44" i="64"/>
  <c r="I43" i="64"/>
  <c r="I42" i="64"/>
  <c r="I41" i="64"/>
  <c r="I40" i="64"/>
  <c r="K52" i="64"/>
  <c r="K51" i="64"/>
  <c r="K50" i="64"/>
  <c r="K49" i="64"/>
  <c r="K48" i="64"/>
  <c r="K47" i="64"/>
  <c r="K45" i="64"/>
  <c r="K46" i="64" s="1"/>
  <c r="K44" i="64"/>
  <c r="K43" i="64"/>
  <c r="K42" i="64"/>
  <c r="K41" i="64"/>
  <c r="K40" i="64"/>
  <c r="M49" i="64"/>
  <c r="M46" i="64"/>
  <c r="M43" i="64"/>
  <c r="M52" i="64"/>
  <c r="M51" i="64"/>
  <c r="M50" i="64"/>
  <c r="M48" i="64"/>
  <c r="M47" i="64"/>
  <c r="M45" i="64"/>
  <c r="M44" i="64"/>
  <c r="M42" i="64"/>
  <c r="M41" i="64"/>
  <c r="M40" i="64"/>
  <c r="I35" i="62"/>
  <c r="W30" i="48"/>
  <c r="T30" i="48"/>
  <c r="Q30" i="48"/>
  <c r="Q21" i="48"/>
  <c r="I46" i="64" l="1"/>
  <c r="C41" i="64"/>
  <c r="G46" i="64"/>
  <c r="K35" i="60"/>
  <c r="G35" i="62" l="1"/>
  <c r="E35" i="62"/>
  <c r="C35" i="62"/>
  <c r="G34" i="62"/>
  <c r="E34" i="62"/>
  <c r="C34" i="62"/>
  <c r="K33" i="62"/>
  <c r="C33" i="62"/>
  <c r="K32" i="62"/>
  <c r="K43" i="62" s="1"/>
  <c r="C32" i="62"/>
  <c r="C31" i="62"/>
  <c r="C40" i="62" s="1"/>
  <c r="M30" i="62"/>
  <c r="K30" i="62"/>
  <c r="I30" i="62"/>
  <c r="G30" i="62"/>
  <c r="G31" i="62" s="1"/>
  <c r="E30" i="62"/>
  <c r="C30" i="62"/>
  <c r="K11" i="64"/>
  <c r="I11" i="64"/>
  <c r="C6" i="64"/>
  <c r="C11" i="64" s="1"/>
  <c r="C12" i="64" l="1"/>
  <c r="C14" i="64"/>
  <c r="C15" i="64" s="1"/>
  <c r="C16" i="64" s="1"/>
  <c r="I40" i="62"/>
  <c r="I31" i="62"/>
  <c r="I12" i="64"/>
  <c r="K34" i="62"/>
  <c r="K31" i="62"/>
  <c r="K40" i="62"/>
  <c r="C43" i="62"/>
  <c r="E31" i="62"/>
  <c r="M31" i="62"/>
  <c r="M40" i="62" s="1"/>
  <c r="I32" i="62"/>
  <c r="I34" i="62"/>
  <c r="G40" i="62"/>
  <c r="M32" i="62"/>
  <c r="M34" i="62" s="1"/>
  <c r="E40" i="62"/>
  <c r="K12" i="64"/>
  <c r="K33" i="64"/>
  <c r="I33" i="64"/>
  <c r="C18" i="64"/>
  <c r="C13" i="64"/>
  <c r="C17" i="64"/>
  <c r="C19" i="64" s="1"/>
  <c r="C20" i="64" s="1"/>
  <c r="I13" i="64" l="1"/>
  <c r="M43" i="62"/>
  <c r="I33" i="62"/>
  <c r="K13" i="64"/>
  <c r="C47" i="64"/>
  <c r="C49" i="64" s="1"/>
  <c r="C44" i="64"/>
  <c r="C46" i="64" s="1"/>
  <c r="M11" i="60"/>
  <c r="M14" i="60" s="1"/>
  <c r="K11" i="60"/>
  <c r="K14" i="60" s="1"/>
  <c r="I11" i="60"/>
  <c r="I14" i="60" s="1"/>
  <c r="G11" i="60"/>
  <c r="G14" i="60" s="1"/>
  <c r="E11" i="60"/>
  <c r="E14" i="60" s="1"/>
  <c r="C11" i="60"/>
  <c r="C14" i="60" s="1"/>
  <c r="I43" i="62" l="1"/>
  <c r="M15" i="60"/>
  <c r="M16" i="60" s="1"/>
  <c r="M44" i="60" s="1"/>
  <c r="M12" i="60"/>
  <c r="M30" i="60"/>
  <c r="M17" i="60"/>
  <c r="K15" i="60"/>
  <c r="K33" i="60"/>
  <c r="K16" i="60"/>
  <c r="K44" i="60" s="1"/>
  <c r="K32" i="60"/>
  <c r="K43" i="60" s="1"/>
  <c r="K45" i="60" s="1"/>
  <c r="K30" i="60"/>
  <c r="K17" i="60"/>
  <c r="K12" i="60"/>
  <c r="K13" i="60" s="1"/>
  <c r="K41" i="60" s="1"/>
  <c r="I15" i="60"/>
  <c r="I16" i="60" s="1"/>
  <c r="I44" i="60" s="1"/>
  <c r="I30" i="60"/>
  <c r="I32" i="60" s="1"/>
  <c r="I12" i="60"/>
  <c r="I17" i="60"/>
  <c r="G15" i="60"/>
  <c r="G16" i="60" s="1"/>
  <c r="G44" i="60" s="1"/>
  <c r="G30" i="60"/>
  <c r="G32" i="60" s="1"/>
  <c r="G24" i="60"/>
  <c r="G17" i="60"/>
  <c r="G19" i="60" s="1"/>
  <c r="G12" i="60"/>
  <c r="E15" i="60"/>
  <c r="E16" i="60" s="1"/>
  <c r="E44" i="60" s="1"/>
  <c r="E30" i="60"/>
  <c r="E12" i="60"/>
  <c r="E13" i="60"/>
  <c r="E41" i="60" s="1"/>
  <c r="E17" i="60"/>
  <c r="E19" i="60" s="1"/>
  <c r="E24" i="60" s="1"/>
  <c r="C15" i="60"/>
  <c r="C16" i="60" s="1"/>
  <c r="C12" i="60"/>
  <c r="C18" i="60" s="1"/>
  <c r="C24" i="60"/>
  <c r="C17" i="60"/>
  <c r="C19" i="60" s="1"/>
  <c r="M31" i="60"/>
  <c r="M42" i="60"/>
  <c r="K31" i="60"/>
  <c r="K40" i="60" s="1"/>
  <c r="I33" i="60"/>
  <c r="I43" i="60" s="1"/>
  <c r="I31" i="60"/>
  <c r="I40" i="60" s="1"/>
  <c r="E32" i="60"/>
  <c r="E31" i="60"/>
  <c r="E40" i="60" s="1"/>
  <c r="I45" i="60" l="1"/>
  <c r="M40" i="60"/>
  <c r="E35" i="60"/>
  <c r="E18" i="60"/>
  <c r="G31" i="60"/>
  <c r="G40" i="60" s="1"/>
  <c r="M32" i="60"/>
  <c r="M18" i="60"/>
  <c r="M19" i="60" s="1"/>
  <c r="M13" i="60"/>
  <c r="M41" i="60" s="1"/>
  <c r="K18" i="60"/>
  <c r="K19" i="60" s="1"/>
  <c r="K42" i="60"/>
  <c r="I18" i="60"/>
  <c r="I19" i="60" s="1"/>
  <c r="I42" i="60"/>
  <c r="I13" i="60"/>
  <c r="I41" i="60" s="1"/>
  <c r="G25" i="60"/>
  <c r="G26" i="60" s="1"/>
  <c r="G18" i="60"/>
  <c r="G42" i="60"/>
  <c r="G20" i="60"/>
  <c r="G35" i="60"/>
  <c r="G13" i="60"/>
  <c r="G41" i="60" s="1"/>
  <c r="E42" i="60"/>
  <c r="E25" i="60"/>
  <c r="E26" i="60" s="1"/>
  <c r="E20" i="60"/>
  <c r="C25" i="60"/>
  <c r="C26" i="60" s="1"/>
  <c r="C20" i="60"/>
  <c r="C22" i="60" s="1"/>
  <c r="C21" i="60" s="1"/>
  <c r="C23" i="60" s="1"/>
  <c r="C13" i="60"/>
  <c r="M33" i="60"/>
  <c r="M43" i="60" s="1"/>
  <c r="G33" i="60"/>
  <c r="G43" i="60"/>
  <c r="G45" i="60" s="1"/>
  <c r="E33" i="60"/>
  <c r="E43" i="60"/>
  <c r="E45" i="60" s="1"/>
  <c r="M24" i="60" l="1"/>
  <c r="M20" i="60"/>
  <c r="M34" i="60" s="1"/>
  <c r="M46" i="60" s="1"/>
  <c r="M22" i="60"/>
  <c r="M21" i="60" s="1"/>
  <c r="M23" i="60" s="1"/>
  <c r="K20" i="60"/>
  <c r="K24" i="60"/>
  <c r="I20" i="60"/>
  <c r="I24" i="60"/>
  <c r="G22" i="60"/>
  <c r="G21" i="60" s="1"/>
  <c r="G23" i="60" s="1"/>
  <c r="G34" i="60"/>
  <c r="E22" i="60"/>
  <c r="E21" i="60" s="1"/>
  <c r="E23" i="60" s="1"/>
  <c r="E34" i="60"/>
  <c r="C37" i="60"/>
  <c r="C49" i="60" s="1"/>
  <c r="M45" i="60"/>
  <c r="M25" i="60" l="1"/>
  <c r="M26" i="60" s="1"/>
  <c r="K22" i="60"/>
  <c r="K21" i="60" s="1"/>
  <c r="K23" i="60" s="1"/>
  <c r="K34" i="60"/>
  <c r="K25" i="60"/>
  <c r="K26" i="60" s="1"/>
  <c r="I25" i="60"/>
  <c r="I26" i="60" s="1"/>
  <c r="I22" i="60"/>
  <c r="I21" i="60" s="1"/>
  <c r="I23" i="60" s="1"/>
  <c r="I34" i="60"/>
  <c r="C36" i="60" l="1"/>
  <c r="C30" i="60"/>
  <c r="C31" i="60" l="1"/>
  <c r="C40" i="60" s="1"/>
  <c r="C32" i="60"/>
  <c r="H11" i="63"/>
  <c r="H14" i="63" s="1"/>
  <c r="E11" i="63"/>
  <c r="E14" i="63" s="1"/>
  <c r="N36" i="63"/>
  <c r="N6" i="63"/>
  <c r="O8" i="63" s="1"/>
  <c r="K36" i="63"/>
  <c r="K6" i="63"/>
  <c r="K11" i="63" s="1"/>
  <c r="K14" i="63" s="1"/>
  <c r="I8" i="63"/>
  <c r="I11" i="63" s="1"/>
  <c r="H36" i="63"/>
  <c r="H6" i="63"/>
  <c r="F8" i="63"/>
  <c r="E36" i="63"/>
  <c r="E6" i="63"/>
  <c r="Q36" i="63"/>
  <c r="L36" i="63"/>
  <c r="F36" i="63"/>
  <c r="F33" i="63"/>
  <c r="C36" i="63"/>
  <c r="O8" i="61"/>
  <c r="O14" i="61" s="1"/>
  <c r="N36" i="61"/>
  <c r="N6" i="61"/>
  <c r="K36" i="61"/>
  <c r="K6" i="61"/>
  <c r="L8" i="61" s="1"/>
  <c r="L11" i="61" s="1"/>
  <c r="L28" i="61" s="1"/>
  <c r="H36" i="61"/>
  <c r="H6" i="61"/>
  <c r="I8" i="61" s="1"/>
  <c r="I11" i="61" s="1"/>
  <c r="I6" i="61"/>
  <c r="F8" i="61"/>
  <c r="E36" i="61"/>
  <c r="E6" i="61"/>
  <c r="E11" i="61" s="1"/>
  <c r="E12" i="61" s="1"/>
  <c r="Q36" i="61"/>
  <c r="O36" i="61"/>
  <c r="C36" i="61"/>
  <c r="N36" i="59"/>
  <c r="N6" i="59"/>
  <c r="N11" i="59" s="1"/>
  <c r="N12" i="59" s="1"/>
  <c r="K36" i="59"/>
  <c r="K6" i="59"/>
  <c r="K11" i="59" s="1"/>
  <c r="K12" i="59" s="1"/>
  <c r="H36" i="59"/>
  <c r="H6" i="59"/>
  <c r="I8" i="59" s="1"/>
  <c r="E36" i="59"/>
  <c r="E6" i="59"/>
  <c r="E11" i="59" s="1"/>
  <c r="E14" i="59" s="1"/>
  <c r="F36" i="59"/>
  <c r="C36" i="59"/>
  <c r="I14" i="61" l="1"/>
  <c r="I29" i="61" s="1"/>
  <c r="I36" i="61" s="1"/>
  <c r="I12" i="61"/>
  <c r="O14" i="63"/>
  <c r="O15" i="63" s="1"/>
  <c r="O16" i="63" s="1"/>
  <c r="O37" i="63" s="1"/>
  <c r="O11" i="63"/>
  <c r="O17" i="63" s="1"/>
  <c r="N11" i="63"/>
  <c r="N14" i="63" s="1"/>
  <c r="N15" i="63" s="1"/>
  <c r="N16" i="63" s="1"/>
  <c r="L8" i="63"/>
  <c r="L11" i="63" s="1"/>
  <c r="C33" i="60"/>
  <c r="C34" i="60"/>
  <c r="O12" i="63"/>
  <c r="N12" i="63"/>
  <c r="N28" i="63"/>
  <c r="K15" i="63"/>
  <c r="K16" i="63" s="1"/>
  <c r="K28" i="63"/>
  <c r="K33" i="63" s="1"/>
  <c r="K12" i="63"/>
  <c r="K17" i="63"/>
  <c r="K19" i="63" s="1"/>
  <c r="I12" i="63"/>
  <c r="I13" i="63" s="1"/>
  <c r="I34" i="63" s="1"/>
  <c r="H15" i="63"/>
  <c r="H16" i="63" s="1"/>
  <c r="H12" i="63"/>
  <c r="H18" i="63" s="1"/>
  <c r="H17" i="63"/>
  <c r="H19" i="63" s="1"/>
  <c r="H24" i="63" s="1"/>
  <c r="H28" i="63"/>
  <c r="E15" i="63"/>
  <c r="E16" i="63" s="1"/>
  <c r="E12" i="63"/>
  <c r="E13" i="63" s="1"/>
  <c r="E34" i="63" s="1"/>
  <c r="E28" i="63"/>
  <c r="E33" i="63" s="1"/>
  <c r="E17" i="63"/>
  <c r="E19" i="63" s="1"/>
  <c r="O11" i="61"/>
  <c r="O17" i="61" s="1"/>
  <c r="I13" i="61"/>
  <c r="I34" i="61" s="1"/>
  <c r="N11" i="61"/>
  <c r="L12" i="61"/>
  <c r="L13" i="61" s="1"/>
  <c r="L34" i="61" s="1"/>
  <c r="K11" i="61"/>
  <c r="I28" i="61"/>
  <c r="I33" i="61" s="1"/>
  <c r="H11" i="61"/>
  <c r="I15" i="61"/>
  <c r="I38" i="61" s="1"/>
  <c r="I17" i="61"/>
  <c r="I19" i="61" s="1"/>
  <c r="E13" i="61"/>
  <c r="E34" i="61" s="1"/>
  <c r="E14" i="61"/>
  <c r="E28" i="61"/>
  <c r="O15" i="61"/>
  <c r="O38" i="61" s="1"/>
  <c r="O28" i="61"/>
  <c r="O12" i="61"/>
  <c r="L33" i="61"/>
  <c r="O8" i="59"/>
  <c r="N13" i="59"/>
  <c r="N34" i="59" s="1"/>
  <c r="N14" i="59"/>
  <c r="N28" i="59"/>
  <c r="L8" i="59"/>
  <c r="L11" i="59" s="1"/>
  <c r="K13" i="59"/>
  <c r="K34" i="59" s="1"/>
  <c r="K14" i="59"/>
  <c r="K28" i="59"/>
  <c r="H11" i="59"/>
  <c r="L12" i="59"/>
  <c r="E15" i="59"/>
  <c r="E16" i="59" s="1"/>
  <c r="E12" i="59"/>
  <c r="E17" i="59"/>
  <c r="E19" i="59" s="1"/>
  <c r="F8" i="59"/>
  <c r="E28" i="59"/>
  <c r="N18" i="63" l="1"/>
  <c r="L35" i="61"/>
  <c r="N17" i="63"/>
  <c r="N19" i="63" s="1"/>
  <c r="N21" i="63" s="1"/>
  <c r="N23" i="63" s="1"/>
  <c r="L12" i="63"/>
  <c r="N24" i="63"/>
  <c r="O13" i="63"/>
  <c r="O34" i="63" s="1"/>
  <c r="C35" i="60"/>
  <c r="C54" i="60" s="1"/>
  <c r="C39" i="60"/>
  <c r="C43" i="60"/>
  <c r="N25" i="63"/>
  <c r="N26" i="63" s="1"/>
  <c r="N20" i="63"/>
  <c r="N22" i="63" s="1"/>
  <c r="N13" i="63"/>
  <c r="N34" i="63" s="1"/>
  <c r="N35" i="63"/>
  <c r="N33" i="63"/>
  <c r="L13" i="63"/>
  <c r="L34" i="63" s="1"/>
  <c r="K18" i="63"/>
  <c r="K35" i="63"/>
  <c r="K13" i="63"/>
  <c r="K34" i="63" s="1"/>
  <c r="K20" i="63"/>
  <c r="K22" i="63" s="1"/>
  <c r="K21" i="63" s="1"/>
  <c r="K23" i="63" s="1"/>
  <c r="K24" i="63"/>
  <c r="H25" i="63"/>
  <c r="H26" i="63" s="1"/>
  <c r="H20" i="63"/>
  <c r="H22" i="63" s="1"/>
  <c r="H39" i="63" s="1"/>
  <c r="H13" i="63"/>
  <c r="H34" i="63" s="1"/>
  <c r="H35" i="63"/>
  <c r="H33" i="63"/>
  <c r="E20" i="63"/>
  <c r="E22" i="63" s="1"/>
  <c r="E21" i="63" s="1"/>
  <c r="E24" i="63"/>
  <c r="E18" i="63"/>
  <c r="E35" i="63"/>
  <c r="H31" i="63"/>
  <c r="H47" i="63" s="1"/>
  <c r="H38" i="63"/>
  <c r="H48" i="63"/>
  <c r="H37" i="63"/>
  <c r="E38" i="63"/>
  <c r="E37" i="63"/>
  <c r="E48" i="63"/>
  <c r="E39" i="63"/>
  <c r="I16" i="61"/>
  <c r="I37" i="61" s="1"/>
  <c r="I35" i="61"/>
  <c r="N12" i="61"/>
  <c r="N13" i="61" s="1"/>
  <c r="N34" i="61" s="1"/>
  <c r="N17" i="61"/>
  <c r="N28" i="61"/>
  <c r="N14" i="61"/>
  <c r="K12" i="61"/>
  <c r="K13" i="61" s="1"/>
  <c r="K34" i="61" s="1"/>
  <c r="K28" i="61"/>
  <c r="K14" i="61"/>
  <c r="K17" i="61" s="1"/>
  <c r="K19" i="61" s="1"/>
  <c r="H12" i="61"/>
  <c r="H13" i="61" s="1"/>
  <c r="H34" i="61" s="1"/>
  <c r="H28" i="61"/>
  <c r="H14" i="61"/>
  <c r="H17" i="61" s="1"/>
  <c r="H19" i="61" s="1"/>
  <c r="I20" i="61"/>
  <c r="I22" i="61" s="1"/>
  <c r="I24" i="61"/>
  <c r="E18" i="59"/>
  <c r="E33" i="61"/>
  <c r="E35" i="61"/>
  <c r="E15" i="61"/>
  <c r="E17" i="61"/>
  <c r="E19" i="61" s="1"/>
  <c r="E24" i="61" s="1"/>
  <c r="O35" i="61"/>
  <c r="O13" i="61"/>
  <c r="O34" i="61" s="1"/>
  <c r="O16" i="61"/>
  <c r="O37" i="61" s="1"/>
  <c r="O33" i="61"/>
  <c r="N35" i="59"/>
  <c r="E24" i="59"/>
  <c r="E25" i="59" s="1"/>
  <c r="E26" i="59" s="1"/>
  <c r="E20" i="59"/>
  <c r="E22" i="59" s="1"/>
  <c r="E21" i="59" s="1"/>
  <c r="E23" i="59" s="1"/>
  <c r="O11" i="59"/>
  <c r="O14" i="59"/>
  <c r="O15" i="59" s="1"/>
  <c r="O16" i="59" s="1"/>
  <c r="O37" i="59" s="1"/>
  <c r="N33" i="59"/>
  <c r="N15" i="59"/>
  <c r="N17" i="59"/>
  <c r="K33" i="59"/>
  <c r="K15" i="59"/>
  <c r="K17" i="59"/>
  <c r="K19" i="59" s="1"/>
  <c r="K20" i="59" s="1"/>
  <c r="K35" i="59"/>
  <c r="H12" i="59"/>
  <c r="H13" i="59" s="1"/>
  <c r="H34" i="59" s="1"/>
  <c r="H28" i="59"/>
  <c r="H14" i="59"/>
  <c r="H17" i="59" s="1"/>
  <c r="H19" i="59" s="1"/>
  <c r="H20" i="59" s="1"/>
  <c r="L13" i="59"/>
  <c r="L34" i="59" s="1"/>
  <c r="E13" i="59"/>
  <c r="E34" i="59" s="1"/>
  <c r="E35" i="59"/>
  <c r="E33" i="59"/>
  <c r="E38" i="59"/>
  <c r="C46" i="60" l="1"/>
  <c r="C53" i="60"/>
  <c r="K25" i="63"/>
  <c r="K26" i="63" s="1"/>
  <c r="H21" i="63"/>
  <c r="H23" i="63" s="1"/>
  <c r="H40" i="63" s="1"/>
  <c r="E23" i="63"/>
  <c r="E40" i="63" s="1"/>
  <c r="E49" i="63" s="1"/>
  <c r="E56" i="63" s="1"/>
  <c r="E41" i="63"/>
  <c r="E25" i="63"/>
  <c r="E31" i="63" s="1"/>
  <c r="E47" i="63" s="1"/>
  <c r="N38" i="63"/>
  <c r="N37" i="63"/>
  <c r="K38" i="63"/>
  <c r="K40" i="63"/>
  <c r="K37" i="63"/>
  <c r="H43" i="63"/>
  <c r="H42" i="63"/>
  <c r="H46" i="63"/>
  <c r="I9" i="63" s="1"/>
  <c r="H44" i="63"/>
  <c r="E43" i="63"/>
  <c r="E46" i="63"/>
  <c r="F9" i="63" s="1"/>
  <c r="E44" i="63"/>
  <c r="E50" i="63" s="1"/>
  <c r="E42" i="63"/>
  <c r="K24" i="61"/>
  <c r="K25" i="61" s="1"/>
  <c r="K31" i="61" s="1"/>
  <c r="K47" i="61" s="1"/>
  <c r="N33" i="61"/>
  <c r="N15" i="61"/>
  <c r="N38" i="61" s="1"/>
  <c r="N35" i="61"/>
  <c r="K33" i="61"/>
  <c r="K20" i="61"/>
  <c r="K22" i="61" s="1"/>
  <c r="K21" i="61"/>
  <c r="K23" i="61" s="1"/>
  <c r="K40" i="61" s="1"/>
  <c r="K15" i="61"/>
  <c r="K38" i="61" s="1"/>
  <c r="K35" i="61"/>
  <c r="H20" i="61"/>
  <c r="H22" i="61" s="1"/>
  <c r="H21" i="61" s="1"/>
  <c r="H23" i="61" s="1"/>
  <c r="H40" i="61" s="1"/>
  <c r="H24" i="61"/>
  <c r="H33" i="61"/>
  <c r="H15" i="61"/>
  <c r="H38" i="61" s="1"/>
  <c r="H35" i="61"/>
  <c r="I25" i="61"/>
  <c r="I31" i="61" s="1"/>
  <c r="I47" i="61" s="1"/>
  <c r="I39" i="61"/>
  <c r="I48" i="61"/>
  <c r="I21" i="61"/>
  <c r="I23" i="61" s="1"/>
  <c r="I40" i="61" s="1"/>
  <c r="E25" i="61"/>
  <c r="E31" i="61" s="1"/>
  <c r="E47" i="61" s="1"/>
  <c r="E20" i="61"/>
  <c r="E22" i="61" s="1"/>
  <c r="E38" i="61"/>
  <c r="E18" i="61"/>
  <c r="E16" i="61"/>
  <c r="E37" i="61" s="1"/>
  <c r="O17" i="59"/>
  <c r="O12" i="59"/>
  <c r="O13" i="59" s="1"/>
  <c r="O34" i="59" s="1"/>
  <c r="N38" i="59"/>
  <c r="N18" i="59"/>
  <c r="N19" i="59" s="1"/>
  <c r="N20" i="59" s="1"/>
  <c r="N16" i="59"/>
  <c r="N37" i="59" s="1"/>
  <c r="K38" i="59"/>
  <c r="K18" i="59"/>
  <c r="K16" i="59"/>
  <c r="K37" i="59" s="1"/>
  <c r="K22" i="59"/>
  <c r="K24" i="59"/>
  <c r="H15" i="59"/>
  <c r="H38" i="59" s="1"/>
  <c r="H24" i="59"/>
  <c r="H33" i="59"/>
  <c r="H22" i="59"/>
  <c r="H21" i="59" s="1"/>
  <c r="H23" i="59" s="1"/>
  <c r="H40" i="59" s="1"/>
  <c r="H35" i="59"/>
  <c r="E37" i="59"/>
  <c r="E31" i="59"/>
  <c r="E48" i="59"/>
  <c r="E39" i="59"/>
  <c r="E43" i="59" s="1"/>
  <c r="E40" i="59"/>
  <c r="K18" i="61" l="1"/>
  <c r="H41" i="63"/>
  <c r="H50" i="63" s="1"/>
  <c r="H52" i="63" s="1"/>
  <c r="H49" i="63"/>
  <c r="E26" i="63"/>
  <c r="N31" i="63"/>
  <c r="N47" i="63" s="1"/>
  <c r="N41" i="63"/>
  <c r="N48" i="63"/>
  <c r="N39" i="63"/>
  <c r="N40" i="63"/>
  <c r="K48" i="63"/>
  <c r="K39" i="63"/>
  <c r="K41" i="63"/>
  <c r="K31" i="63"/>
  <c r="K47" i="63" s="1"/>
  <c r="H56" i="63"/>
  <c r="E52" i="63"/>
  <c r="E59" i="63"/>
  <c r="N18" i="61"/>
  <c r="N19" i="61" s="1"/>
  <c r="N16" i="61"/>
  <c r="N37" i="61" s="1"/>
  <c r="K48" i="61"/>
  <c r="K39" i="61"/>
  <c r="K43" i="61" s="1"/>
  <c r="K16" i="61"/>
  <c r="K37" i="61" s="1"/>
  <c r="K26" i="61"/>
  <c r="K41" i="61"/>
  <c r="H16" i="61"/>
  <c r="H37" i="61" s="1"/>
  <c r="H18" i="61"/>
  <c r="H41" i="61"/>
  <c r="H42" i="61"/>
  <c r="H48" i="61"/>
  <c r="H39" i="61"/>
  <c r="H46" i="61" s="1"/>
  <c r="I9" i="61" s="1"/>
  <c r="I18" i="61" s="1"/>
  <c r="H25" i="61"/>
  <c r="H31" i="61" s="1"/>
  <c r="H47" i="61" s="1"/>
  <c r="H26" i="61"/>
  <c r="I26" i="61"/>
  <c r="I46" i="61"/>
  <c r="I43" i="61"/>
  <c r="I49" i="61" s="1"/>
  <c r="I42" i="61"/>
  <c r="I41" i="61"/>
  <c r="E26" i="61"/>
  <c r="E48" i="61"/>
  <c r="E39" i="61"/>
  <c r="E21" i="61"/>
  <c r="E47" i="59"/>
  <c r="H18" i="59"/>
  <c r="N24" i="59"/>
  <c r="N25" i="59" s="1"/>
  <c r="N31" i="59" s="1"/>
  <c r="N22" i="59"/>
  <c r="N39" i="59" s="1"/>
  <c r="K48" i="59"/>
  <c r="K39" i="59"/>
  <c r="K25" i="59"/>
  <c r="K31" i="59" s="1"/>
  <c r="K21" i="59"/>
  <c r="H25" i="59"/>
  <c r="H31" i="59" s="1"/>
  <c r="H48" i="59"/>
  <c r="H39" i="59"/>
  <c r="H42" i="59" s="1"/>
  <c r="H41" i="59"/>
  <c r="H16" i="59"/>
  <c r="H37" i="59" s="1"/>
  <c r="E44" i="59"/>
  <c r="E49" i="59"/>
  <c r="E56" i="59" s="1"/>
  <c r="E41" i="59"/>
  <c r="E46" i="59"/>
  <c r="F9" i="59" s="1"/>
  <c r="E42" i="59"/>
  <c r="H59" i="63" l="1"/>
  <c r="I44" i="61"/>
  <c r="N43" i="63"/>
  <c r="N49" i="63" s="1"/>
  <c r="N46" i="63"/>
  <c r="O9" i="63" s="1"/>
  <c r="O18" i="63" s="1"/>
  <c r="O19" i="63" s="1"/>
  <c r="N42" i="63"/>
  <c r="N44" i="63"/>
  <c r="N50" i="63" s="1"/>
  <c r="K43" i="63"/>
  <c r="K49" i="63" s="1"/>
  <c r="K56" i="63" s="1"/>
  <c r="K46" i="63"/>
  <c r="L9" i="63" s="1"/>
  <c r="K44" i="63"/>
  <c r="K50" i="63" s="1"/>
  <c r="K42" i="63"/>
  <c r="N24" i="61"/>
  <c r="N20" i="61"/>
  <c r="N22" i="61" s="1"/>
  <c r="N21" i="61" s="1"/>
  <c r="N23" i="61" s="1"/>
  <c r="N40" i="61" s="1"/>
  <c r="K46" i="61"/>
  <c r="L9" i="61" s="1"/>
  <c r="K49" i="61"/>
  <c r="K42" i="61"/>
  <c r="K44" i="61"/>
  <c r="K50" i="61" s="1"/>
  <c r="H43" i="61"/>
  <c r="H49" i="61" s="1"/>
  <c r="H56" i="61" s="1"/>
  <c r="H44" i="61"/>
  <c r="H50" i="61" s="1"/>
  <c r="H59" i="61" s="1"/>
  <c r="I56" i="61"/>
  <c r="I50" i="61"/>
  <c r="I52" i="61" s="1"/>
  <c r="E23" i="61"/>
  <c r="E40" i="61" s="1"/>
  <c r="E41" i="61"/>
  <c r="E43" i="61"/>
  <c r="E46" i="61"/>
  <c r="F9" i="61" s="1"/>
  <c r="E42" i="61"/>
  <c r="E44" i="61"/>
  <c r="H47" i="59"/>
  <c r="E50" i="59"/>
  <c r="E59" i="59" s="1"/>
  <c r="K47" i="59"/>
  <c r="N47" i="59"/>
  <c r="N21" i="59"/>
  <c r="N23" i="59" s="1"/>
  <c r="N40" i="59" s="1"/>
  <c r="N26" i="59"/>
  <c r="H46" i="59"/>
  <c r="I9" i="59" s="1"/>
  <c r="H43" i="59"/>
  <c r="H49" i="59" s="1"/>
  <c r="H44" i="59"/>
  <c r="H50" i="59" s="1"/>
  <c r="N41" i="59"/>
  <c r="N48" i="59"/>
  <c r="N46" i="59"/>
  <c r="O9" i="59" s="1"/>
  <c r="O18" i="59" s="1"/>
  <c r="O19" i="59" s="1"/>
  <c r="O20" i="59" s="1"/>
  <c r="N44" i="59"/>
  <c r="N42" i="59"/>
  <c r="N43" i="59"/>
  <c r="K26" i="59"/>
  <c r="K43" i="59"/>
  <c r="K44" i="59"/>
  <c r="K42" i="59"/>
  <c r="K46" i="59"/>
  <c r="L9" i="59" s="1"/>
  <c r="K23" i="59"/>
  <c r="K40" i="59" s="1"/>
  <c r="K49" i="59" s="1"/>
  <c r="K56" i="59" s="1"/>
  <c r="K41" i="59"/>
  <c r="K50" i="59" s="1"/>
  <c r="H26" i="59"/>
  <c r="O20" i="63" l="1"/>
  <c r="O22" i="63" s="1"/>
  <c r="O48" i="63" s="1"/>
  <c r="O21" i="63"/>
  <c r="O23" i="63" s="1"/>
  <c r="O40" i="63" s="1"/>
  <c r="N56" i="63"/>
  <c r="N59" i="63" s="1"/>
  <c r="N52" i="63"/>
  <c r="K59" i="63"/>
  <c r="K52" i="63"/>
  <c r="N25" i="61"/>
  <c r="N31" i="61" s="1"/>
  <c r="N47" i="61" s="1"/>
  <c r="N48" i="61"/>
  <c r="N39" i="61"/>
  <c r="N41" i="61"/>
  <c r="K56" i="61"/>
  <c r="K59" i="61" s="1"/>
  <c r="K52" i="61"/>
  <c r="H52" i="61"/>
  <c r="I59" i="61"/>
  <c r="E52" i="59"/>
  <c r="N49" i="59"/>
  <c r="E50" i="61"/>
  <c r="E49" i="61"/>
  <c r="K59" i="59"/>
  <c r="H56" i="59"/>
  <c r="H59" i="59" s="1"/>
  <c r="H52" i="59"/>
  <c r="N50" i="59"/>
  <c r="N52" i="59" s="1"/>
  <c r="O22" i="59"/>
  <c r="O48" i="59" s="1"/>
  <c r="N56" i="59"/>
  <c r="K52" i="59"/>
  <c r="N43" i="61" l="1"/>
  <c r="N49" i="61" s="1"/>
  <c r="N56" i="61" s="1"/>
  <c r="N59" i="61" s="1"/>
  <c r="N44" i="61"/>
  <c r="N50" i="61" s="1"/>
  <c r="N42" i="61"/>
  <c r="N46" i="61"/>
  <c r="O9" i="61" s="1"/>
  <c r="N26" i="61"/>
  <c r="O21" i="59"/>
  <c r="O23" i="59" s="1"/>
  <c r="O40" i="59" s="1"/>
  <c r="E56" i="61"/>
  <c r="E59" i="61" s="1"/>
  <c r="E52" i="61"/>
  <c r="N59" i="59"/>
  <c r="O18" i="61" l="1"/>
  <c r="O19" i="61" s="1"/>
  <c r="N52" i="61"/>
  <c r="O30" i="61" l="1"/>
  <c r="O20" i="61"/>
  <c r="O22" i="61" s="1"/>
  <c r="O21" i="61" s="1"/>
  <c r="O23" i="61" s="1"/>
  <c r="O40" i="61" s="1"/>
  <c r="O48" i="61" l="1"/>
  <c r="O39" i="61"/>
  <c r="O46" i="61" l="1"/>
  <c r="O42" i="61"/>
  <c r="O44" i="61"/>
  <c r="O43" i="61"/>
  <c r="O49" i="61" s="1"/>
  <c r="O56" i="61" s="1"/>
  <c r="Q17" i="54" l="1"/>
  <c r="O17" i="54"/>
  <c r="O19" i="54" s="1"/>
  <c r="M17" i="54"/>
  <c r="K17" i="54"/>
  <c r="K19" i="54" s="1"/>
  <c r="I17" i="54"/>
  <c r="I19" i="54" s="1"/>
  <c r="G17" i="54"/>
  <c r="G19" i="54" s="1"/>
  <c r="Q30" i="54"/>
  <c r="O32" i="54"/>
  <c r="O33" i="54" s="1"/>
  <c r="O31" i="54"/>
  <c r="O30" i="54"/>
  <c r="O40" i="54" s="1"/>
  <c r="M32" i="54"/>
  <c r="M33" i="54" s="1"/>
  <c r="M30" i="54"/>
  <c r="K32" i="54"/>
  <c r="K33" i="54" s="1"/>
  <c r="K31" i="54"/>
  <c r="K30" i="54"/>
  <c r="K40" i="54" s="1"/>
  <c r="I30" i="54"/>
  <c r="G32" i="54"/>
  <c r="G33" i="54" s="1"/>
  <c r="G30" i="54"/>
  <c r="G31" i="54" s="1"/>
  <c r="E30" i="54"/>
  <c r="E31" i="54" s="1"/>
  <c r="C6" i="54"/>
  <c r="C11" i="54" s="1"/>
  <c r="C14" i="54" s="1"/>
  <c r="C32" i="54" s="1"/>
  <c r="C33" i="54" s="1"/>
  <c r="O43" i="54" l="1"/>
  <c r="M31" i="54"/>
  <c r="M43" i="54" s="1"/>
  <c r="G43" i="54"/>
  <c r="K43" i="54"/>
  <c r="E40" i="54"/>
  <c r="C30" i="54"/>
  <c r="Q32" i="54"/>
  <c r="Q33" i="54" s="1"/>
  <c r="G40" i="54"/>
  <c r="O20" i="54"/>
  <c r="O34" i="54"/>
  <c r="K20" i="54"/>
  <c r="K34" i="54"/>
  <c r="K35" i="54" s="1"/>
  <c r="I20" i="54"/>
  <c r="I34" i="54"/>
  <c r="I35" i="54" s="1"/>
  <c r="G20" i="54"/>
  <c r="G34" i="54"/>
  <c r="I31" i="54"/>
  <c r="I40" i="54" s="1"/>
  <c r="I32" i="54"/>
  <c r="Q31" i="54"/>
  <c r="C15" i="54"/>
  <c r="C16" i="54" s="1"/>
  <c r="C44" i="54" s="1"/>
  <c r="C12" i="54"/>
  <c r="C13" i="54"/>
  <c r="C41" i="54" s="1"/>
  <c r="C17" i="54"/>
  <c r="C19" i="54" s="1"/>
  <c r="Q43" i="54" l="1"/>
  <c r="C31" i="54"/>
  <c r="C43" i="54" s="1"/>
  <c r="C45" i="54" s="1"/>
  <c r="I39" i="54"/>
  <c r="M40" i="54"/>
  <c r="Q40" i="54"/>
  <c r="O39" i="54"/>
  <c r="O35" i="54"/>
  <c r="K39" i="54"/>
  <c r="G35" i="54"/>
  <c r="G39" i="54"/>
  <c r="I33" i="54"/>
  <c r="I43" i="54" s="1"/>
  <c r="C34" i="54"/>
  <c r="C35" i="54" s="1"/>
  <c r="C20" i="54"/>
  <c r="C22" i="54" s="1"/>
  <c r="C55" i="54" s="1"/>
  <c r="C18" i="54"/>
  <c r="C24" i="54"/>
  <c r="C37" i="54" s="1"/>
  <c r="C36" i="54" s="1"/>
  <c r="C42" i="54" l="1"/>
  <c r="C40" i="54"/>
  <c r="C46" i="54"/>
  <c r="C39" i="54"/>
  <c r="C21" i="54"/>
  <c r="C23" i="54" s="1"/>
  <c r="C47" i="54" s="1"/>
  <c r="C25" i="54"/>
  <c r="C26" i="54" s="1"/>
  <c r="C49" i="54" l="1"/>
  <c r="C54" i="54" s="1"/>
  <c r="C48" i="54"/>
  <c r="C57" i="54" s="1"/>
  <c r="C50" i="54"/>
  <c r="C56" i="54" s="1"/>
  <c r="C59" i="54" s="1"/>
  <c r="C53" i="54"/>
  <c r="C51" i="54"/>
  <c r="C62" i="54" l="1"/>
  <c r="C65" i="54" s="1"/>
  <c r="AB6" i="48" l="1"/>
  <c r="AB11" i="48" s="1"/>
  <c r="AB14" i="48" s="1"/>
  <c r="AC6" i="48"/>
  <c r="W6" i="48"/>
  <c r="X8" i="48" s="1"/>
  <c r="T6" i="48"/>
  <c r="U8" i="48" s="1"/>
  <c r="Q6" i="48"/>
  <c r="R8" i="48" s="1"/>
  <c r="N6" i="48"/>
  <c r="K6" i="48"/>
  <c r="H6" i="48"/>
  <c r="H11" i="48" s="1"/>
  <c r="H14" i="48" s="1"/>
  <c r="H17" i="48" s="1"/>
  <c r="H19" i="48" s="1"/>
  <c r="I8" i="48" l="1"/>
  <c r="AC8" i="48"/>
  <c r="AB29" i="48"/>
  <c r="AB36" i="48" s="1"/>
  <c r="AB15" i="48"/>
  <c r="AB38" i="48" s="1"/>
  <c r="AB28" i="48"/>
  <c r="AB33" i="48" s="1"/>
  <c r="AB17" i="48"/>
  <c r="AB12" i="48"/>
  <c r="AB35" i="48" s="1"/>
  <c r="AB13" i="48"/>
  <c r="AB34" i="48" s="1"/>
  <c r="N11" i="48"/>
  <c r="N14" i="48" s="1"/>
  <c r="N15" i="48" s="1"/>
  <c r="O8" i="48"/>
  <c r="K11" i="48"/>
  <c r="K14" i="48" s="1"/>
  <c r="K17" i="48" s="1"/>
  <c r="K19" i="48" s="1"/>
  <c r="L8" i="48"/>
  <c r="L11" i="48" s="1"/>
  <c r="X11" i="48"/>
  <c r="X14" i="48"/>
  <c r="W11" i="48"/>
  <c r="W14" i="48" s="1"/>
  <c r="W29" i="48" s="1"/>
  <c r="W36" i="48" s="1"/>
  <c r="W15" i="48"/>
  <c r="W38" i="48" s="1"/>
  <c r="U14" i="48"/>
  <c r="U11" i="48"/>
  <c r="T11" i="48"/>
  <c r="Q11" i="48"/>
  <c r="Q14" i="48" s="1"/>
  <c r="Q15" i="48" s="1"/>
  <c r="R14" i="48"/>
  <c r="R11" i="48"/>
  <c r="N29" i="48"/>
  <c r="N36" i="48" s="1"/>
  <c r="N28" i="48"/>
  <c r="N33" i="48" s="1"/>
  <c r="N17" i="48"/>
  <c r="H20" i="48"/>
  <c r="H22" i="48" s="1"/>
  <c r="H30" i="48"/>
  <c r="K12" i="48"/>
  <c r="H28" i="48"/>
  <c r="H33" i="48" s="1"/>
  <c r="H12" i="48"/>
  <c r="H24" i="48"/>
  <c r="H39" i="48" l="1"/>
  <c r="K28" i="48"/>
  <c r="K33" i="48" s="1"/>
  <c r="N38" i="48"/>
  <c r="Q17" i="48"/>
  <c r="Q29" i="48"/>
  <c r="Q36" i="48" s="1"/>
  <c r="H35" i="48"/>
  <c r="U17" i="48"/>
  <c r="AC11" i="48"/>
  <c r="AC14" i="48" s="1"/>
  <c r="AB18" i="48"/>
  <c r="AB19" i="48"/>
  <c r="AB16" i="48"/>
  <c r="AB37" i="48" s="1"/>
  <c r="O11" i="48"/>
  <c r="O14" i="48"/>
  <c r="H48" i="48"/>
  <c r="N12" i="48"/>
  <c r="N35" i="48" s="1"/>
  <c r="Q12" i="48"/>
  <c r="Q28" i="48"/>
  <c r="Q33" i="48" s="1"/>
  <c r="R17" i="48"/>
  <c r="W12" i="48"/>
  <c r="W28" i="48"/>
  <c r="W33" i="48" s="1"/>
  <c r="W17" i="48"/>
  <c r="W16" i="48"/>
  <c r="W37" i="48" s="1"/>
  <c r="X17" i="48"/>
  <c r="W18" i="48"/>
  <c r="W19" i="48" s="1"/>
  <c r="T14" i="48"/>
  <c r="T17" i="48"/>
  <c r="T12" i="48"/>
  <c r="T28" i="48"/>
  <c r="T33" i="48" s="1"/>
  <c r="Q16" i="48"/>
  <c r="Q37" i="48" s="1"/>
  <c r="N16" i="48"/>
  <c r="N37" i="48" s="1"/>
  <c r="N18" i="48"/>
  <c r="N19" i="48" s="1"/>
  <c r="H21" i="48"/>
  <c r="K15" i="48"/>
  <c r="K29" i="48"/>
  <c r="K36" i="48" s="1"/>
  <c r="K13" i="48"/>
  <c r="K34" i="48" s="1"/>
  <c r="H31" i="48"/>
  <c r="H25" i="48"/>
  <c r="H13" i="48"/>
  <c r="H34" i="48" s="1"/>
  <c r="H15" i="48"/>
  <c r="H29" i="48"/>
  <c r="H36" i="48" s="1"/>
  <c r="H44" i="48" s="1"/>
  <c r="H38" i="48" l="1"/>
  <c r="H41" i="48"/>
  <c r="H43" i="48"/>
  <c r="K35" i="48"/>
  <c r="T35" i="48"/>
  <c r="K38" i="48"/>
  <c r="W35" i="48"/>
  <c r="Q38" i="48"/>
  <c r="H42" i="48"/>
  <c r="Q35" i="48"/>
  <c r="Q18" i="48"/>
  <c r="Q19" i="48" s="1"/>
  <c r="AC15" i="48"/>
  <c r="AC16" i="48" s="1"/>
  <c r="AC37" i="48" s="1"/>
  <c r="AC12" i="48"/>
  <c r="AC17" i="48"/>
  <c r="AC28" i="48"/>
  <c r="AC33" i="48" s="1"/>
  <c r="AB20" i="48"/>
  <c r="AB22" i="48" s="1"/>
  <c r="AB30" i="48"/>
  <c r="AB24" i="48"/>
  <c r="H18" i="48"/>
  <c r="W13" i="48"/>
  <c r="W34" i="48" s="1"/>
  <c r="N13" i="48"/>
  <c r="N34" i="48" s="1"/>
  <c r="Q13" i="48"/>
  <c r="Q34" i="48" s="1"/>
  <c r="O17" i="48"/>
  <c r="W20" i="48"/>
  <c r="W22" i="48" s="1"/>
  <c r="W24" i="48"/>
  <c r="W31" i="48" s="1"/>
  <c r="T13" i="48"/>
  <c r="T34" i="48" s="1"/>
  <c r="T29" i="48"/>
  <c r="T36" i="48" s="1"/>
  <c r="T15" i="48"/>
  <c r="Q20" i="48"/>
  <c r="Q22" i="48" s="1"/>
  <c r="Q24" i="48"/>
  <c r="N24" i="48"/>
  <c r="N20" i="48"/>
  <c r="N22" i="48" s="1"/>
  <c r="N30" i="48"/>
  <c r="K18" i="48"/>
  <c r="H23" i="48"/>
  <c r="H40" i="48" s="1"/>
  <c r="H46" i="48"/>
  <c r="I9" i="48" s="1"/>
  <c r="K16" i="48"/>
  <c r="K37" i="48" s="1"/>
  <c r="H50" i="48"/>
  <c r="H26" i="48"/>
  <c r="H16" i="48"/>
  <c r="H37" i="48" s="1"/>
  <c r="H47" i="48"/>
  <c r="N39" i="48" l="1"/>
  <c r="W39" i="48"/>
  <c r="W42" i="48" s="1"/>
  <c r="AC35" i="48"/>
  <c r="N43" i="48"/>
  <c r="N44" i="48"/>
  <c r="N42" i="48"/>
  <c r="T16" i="48"/>
  <c r="T37" i="48" s="1"/>
  <c r="T38" i="48"/>
  <c r="AB39" i="48"/>
  <c r="Q39" i="48"/>
  <c r="AC29" i="48"/>
  <c r="AC36" i="48" s="1"/>
  <c r="AC13" i="48"/>
  <c r="AC34" i="48" s="1"/>
  <c r="AB48" i="48"/>
  <c r="AB31" i="48"/>
  <c r="AB47" i="48" s="1"/>
  <c r="AB25" i="48"/>
  <c r="AB26" i="48" s="1"/>
  <c r="AB21" i="48"/>
  <c r="AB23" i="48" s="1"/>
  <c r="AB40" i="48" s="1"/>
  <c r="N48" i="48"/>
  <c r="N21" i="48"/>
  <c r="N41" i="48" s="1"/>
  <c r="N46" i="48"/>
  <c r="O9" i="48" s="1"/>
  <c r="W48" i="48"/>
  <c r="W21" i="48"/>
  <c r="W23" i="48" s="1"/>
  <c r="W40" i="48" s="1"/>
  <c r="W47" i="48"/>
  <c r="W25" i="48"/>
  <c r="W26" i="48" s="1"/>
  <c r="T18" i="48"/>
  <c r="T19" i="48" s="1"/>
  <c r="Q48" i="48"/>
  <c r="Q46" i="48"/>
  <c r="R9" i="48" s="1"/>
  <c r="Q31" i="48"/>
  <c r="Q25" i="48"/>
  <c r="Q41" i="48"/>
  <c r="N25" i="48"/>
  <c r="N31" i="48"/>
  <c r="N47" i="48" s="1"/>
  <c r="K20" i="48"/>
  <c r="K22" i="48" s="1"/>
  <c r="K30" i="48"/>
  <c r="K24" i="48"/>
  <c r="H49" i="48"/>
  <c r="H56" i="48" s="1"/>
  <c r="H59" i="48" s="1"/>
  <c r="W43" i="48" l="1"/>
  <c r="W41" i="48"/>
  <c r="AB43" i="48"/>
  <c r="AB49" i="48" s="1"/>
  <c r="AB56" i="48" s="1"/>
  <c r="AB42" i="48"/>
  <c r="AB44" i="48"/>
  <c r="AB41" i="48"/>
  <c r="W44" i="48"/>
  <c r="Q44" i="48"/>
  <c r="Q50" i="48" s="1"/>
  <c r="Q43" i="48"/>
  <c r="Q42" i="48"/>
  <c r="K39" i="48"/>
  <c r="AC38" i="48"/>
  <c r="AB46" i="48"/>
  <c r="AC9" i="48" s="1"/>
  <c r="K48" i="48"/>
  <c r="N23" i="48"/>
  <c r="N40" i="48" s="1"/>
  <c r="N50" i="48"/>
  <c r="W46" i="48"/>
  <c r="X9" i="48" s="1"/>
  <c r="W49" i="48"/>
  <c r="W56" i="48" s="1"/>
  <c r="T20" i="48"/>
  <c r="T22" i="48" s="1"/>
  <c r="T24" i="48"/>
  <c r="H52" i="48"/>
  <c r="Q47" i="48"/>
  <c r="Q23" i="48"/>
  <c r="Q40" i="48" s="1"/>
  <c r="Q26" i="48"/>
  <c r="N26" i="48"/>
  <c r="K21" i="48"/>
  <c r="K23" i="48" s="1"/>
  <c r="K40" i="48" s="1"/>
  <c r="K25" i="48"/>
  <c r="K31" i="48"/>
  <c r="T39" i="48" l="1"/>
  <c r="T42" i="48" s="1"/>
  <c r="K44" i="48"/>
  <c r="K42" i="48"/>
  <c r="K43" i="48"/>
  <c r="K41" i="48"/>
  <c r="K50" i="48" s="1"/>
  <c r="AC18" i="48"/>
  <c r="AC19" i="48" s="1"/>
  <c r="AB50" i="48"/>
  <c r="AB59" i="48" s="1"/>
  <c r="N49" i="48"/>
  <c r="N56" i="48" s="1"/>
  <c r="N59" i="48" s="1"/>
  <c r="K46" i="48"/>
  <c r="L9" i="48" s="1"/>
  <c r="W50" i="48"/>
  <c r="W59" i="48" s="1"/>
  <c r="W52" i="48"/>
  <c r="T48" i="48"/>
  <c r="T21" i="48"/>
  <c r="T23" i="48" s="1"/>
  <c r="T40" i="48" s="1"/>
  <c r="T31" i="48"/>
  <c r="T47" i="48" s="1"/>
  <c r="T25" i="48"/>
  <c r="T26" i="48" s="1"/>
  <c r="Q49" i="48"/>
  <c r="K47" i="48"/>
  <c r="K26" i="48"/>
  <c r="T44" i="48" l="1"/>
  <c r="T43" i="48"/>
  <c r="T41" i="48"/>
  <c r="N52" i="48"/>
  <c r="AC30" i="48"/>
  <c r="AC20" i="48"/>
  <c r="AC22" i="48" s="1"/>
  <c r="AC39" i="48" s="1"/>
  <c r="AC24" i="48"/>
  <c r="AB52" i="48"/>
  <c r="K49" i="48"/>
  <c r="K56" i="48" s="1"/>
  <c r="K59" i="48" s="1"/>
  <c r="T46" i="48"/>
  <c r="U9" i="48" s="1"/>
  <c r="U43" i="48" s="1"/>
  <c r="T49" i="48"/>
  <c r="T56" i="48" s="1"/>
  <c r="Q56" i="48"/>
  <c r="Q59" i="48" s="1"/>
  <c r="Q52" i="48"/>
  <c r="K52" i="48"/>
  <c r="AC43" i="48" l="1"/>
  <c r="AC44" i="48"/>
  <c r="AC42" i="48"/>
  <c r="AC41" i="48"/>
  <c r="AC25" i="48"/>
  <c r="AC26" i="48" s="1"/>
  <c r="AC21" i="48"/>
  <c r="AC23" i="48" s="1"/>
  <c r="AC40" i="48" s="1"/>
  <c r="AC48" i="48"/>
  <c r="AC47" i="48"/>
  <c r="T50" i="48"/>
  <c r="T52" i="48" s="1"/>
  <c r="T59" i="48" l="1"/>
  <c r="AC49" i="48"/>
  <c r="AC56" i="48" s="1"/>
  <c r="AC46" i="48"/>
  <c r="AC50" i="48"/>
  <c r="AC52" i="48" l="1"/>
  <c r="AC59" i="48"/>
  <c r="E6" i="48" l="1"/>
  <c r="F8" i="48" l="1"/>
  <c r="E11" i="48"/>
  <c r="C22" i="64"/>
  <c r="C56" i="64" s="1"/>
  <c r="M6" i="64"/>
  <c r="K6" i="64"/>
  <c r="I6" i="64"/>
  <c r="G6" i="64"/>
  <c r="E6" i="64"/>
  <c r="C30" i="64"/>
  <c r="C31" i="64" s="1"/>
  <c r="O28" i="63"/>
  <c r="L28" i="63"/>
  <c r="I28" i="63"/>
  <c r="Q6" i="63"/>
  <c r="O6" i="63"/>
  <c r="O24" i="63" s="1"/>
  <c r="O25" i="63" s="1"/>
  <c r="O26" i="63" s="1"/>
  <c r="L6" i="63"/>
  <c r="I6" i="63"/>
  <c r="F6" i="63"/>
  <c r="C6" i="63"/>
  <c r="M22" i="62"/>
  <c r="K22" i="62"/>
  <c r="I22" i="62"/>
  <c r="G22" i="62"/>
  <c r="E22" i="62"/>
  <c r="C22" i="62"/>
  <c r="K17" i="62"/>
  <c r="I17" i="62"/>
  <c r="C17" i="62"/>
  <c r="M15" i="62"/>
  <c r="K15" i="62"/>
  <c r="K16" i="62" s="1"/>
  <c r="K44" i="62" s="1"/>
  <c r="K45" i="62" s="1"/>
  <c r="I15" i="62"/>
  <c r="I16" i="62" s="1"/>
  <c r="I44" i="62" s="1"/>
  <c r="I45" i="62" s="1"/>
  <c r="C15" i="62"/>
  <c r="C16" i="62" s="1"/>
  <c r="C44" i="62" s="1"/>
  <c r="C45" i="62" s="1"/>
  <c r="M12" i="62"/>
  <c r="M42" i="62" s="1"/>
  <c r="K12" i="62"/>
  <c r="I12" i="62"/>
  <c r="G12" i="62"/>
  <c r="E12" i="62"/>
  <c r="C12" i="62"/>
  <c r="M6" i="62"/>
  <c r="M37" i="62" s="1"/>
  <c r="K6" i="62"/>
  <c r="K24" i="62" s="1"/>
  <c r="K37" i="62" s="1"/>
  <c r="I6" i="62"/>
  <c r="I24" i="62" s="1"/>
  <c r="I37" i="62" s="1"/>
  <c r="G6" i="62"/>
  <c r="E6" i="62"/>
  <c r="E14" i="62" s="1"/>
  <c r="C6" i="62"/>
  <c r="C24" i="62" s="1"/>
  <c r="C37" i="62" s="1"/>
  <c r="Q6" i="61"/>
  <c r="Q11" i="61" s="1"/>
  <c r="O6" i="61"/>
  <c r="O24" i="61" s="1"/>
  <c r="L6" i="61"/>
  <c r="F6" i="61"/>
  <c r="C6" i="61"/>
  <c r="M55" i="60"/>
  <c r="K55" i="60"/>
  <c r="I55" i="60"/>
  <c r="C42" i="60"/>
  <c r="M37" i="60"/>
  <c r="K37" i="60"/>
  <c r="I37" i="60"/>
  <c r="O30" i="59"/>
  <c r="O39" i="59" s="1"/>
  <c r="O28" i="59"/>
  <c r="L28" i="59"/>
  <c r="Q6" i="59"/>
  <c r="O6" i="59"/>
  <c r="O24" i="59" s="1"/>
  <c r="O25" i="59" s="1"/>
  <c r="O26" i="59" s="1"/>
  <c r="L6" i="59"/>
  <c r="I6" i="59"/>
  <c r="F6" i="59"/>
  <c r="C6" i="59"/>
  <c r="I49" i="62" l="1"/>
  <c r="I36" i="62"/>
  <c r="I39" i="62" s="1"/>
  <c r="E13" i="62"/>
  <c r="E42" i="62"/>
  <c r="E55" i="62"/>
  <c r="E46" i="62"/>
  <c r="Q12" i="61"/>
  <c r="Q28" i="61"/>
  <c r="Q33" i="61" s="1"/>
  <c r="M55" i="62"/>
  <c r="M46" i="62"/>
  <c r="L14" i="63"/>
  <c r="C55" i="64"/>
  <c r="K14" i="64"/>
  <c r="K17" i="64"/>
  <c r="C49" i="62"/>
  <c r="C36" i="62"/>
  <c r="C39" i="62" s="1"/>
  <c r="C54" i="62"/>
  <c r="K49" i="62"/>
  <c r="K36" i="62"/>
  <c r="K39" i="62" s="1"/>
  <c r="G13" i="62"/>
  <c r="G42" i="62"/>
  <c r="E21" i="62"/>
  <c r="G55" i="62"/>
  <c r="G46" i="62"/>
  <c r="C11" i="63"/>
  <c r="E11" i="64"/>
  <c r="M11" i="64"/>
  <c r="E32" i="62"/>
  <c r="E43" i="62"/>
  <c r="M49" i="62"/>
  <c r="M36" i="62"/>
  <c r="M39" i="62" s="1"/>
  <c r="M54" i="62"/>
  <c r="I13" i="62"/>
  <c r="I42" i="62"/>
  <c r="G21" i="62"/>
  <c r="G23" i="62" s="1"/>
  <c r="G47" i="62" s="1"/>
  <c r="I21" i="62"/>
  <c r="I55" i="62"/>
  <c r="F11" i="63"/>
  <c r="Q11" i="63"/>
  <c r="G11" i="64"/>
  <c r="C13" i="62"/>
  <c r="C42" i="62"/>
  <c r="K13" i="62"/>
  <c r="K42" i="62"/>
  <c r="C21" i="62"/>
  <c r="C55" i="62"/>
  <c r="C46" i="62"/>
  <c r="K21" i="62"/>
  <c r="K55" i="62"/>
  <c r="I29" i="63"/>
  <c r="I36" i="63" s="1"/>
  <c r="I14" i="63"/>
  <c r="I14" i="64"/>
  <c r="I17" i="64"/>
  <c r="G14" i="62"/>
  <c r="M21" i="62"/>
  <c r="M23" i="62" s="1"/>
  <c r="M47" i="62" s="1"/>
  <c r="M16" i="62"/>
  <c r="M44" i="62" s="1"/>
  <c r="M45" i="62" s="1"/>
  <c r="C21" i="64"/>
  <c r="C24" i="64"/>
  <c r="M36" i="60"/>
  <c r="M39" i="60" s="1"/>
  <c r="M49" i="60"/>
  <c r="I36" i="60"/>
  <c r="I39" i="60" s="1"/>
  <c r="I49" i="60"/>
  <c r="K49" i="60"/>
  <c r="K36" i="60"/>
  <c r="K39" i="60" s="1"/>
  <c r="G55" i="60"/>
  <c r="G46" i="60"/>
  <c r="E55" i="60"/>
  <c r="E46" i="60"/>
  <c r="C55" i="60"/>
  <c r="C41" i="60"/>
  <c r="O29" i="63"/>
  <c r="O33" i="63"/>
  <c r="O35" i="63"/>
  <c r="L33" i="63"/>
  <c r="L35" i="63"/>
  <c r="I33" i="63"/>
  <c r="I35" i="63"/>
  <c r="O30" i="63"/>
  <c r="O39" i="63" s="1"/>
  <c r="F11" i="61"/>
  <c r="Q14" i="61"/>
  <c r="L14" i="61"/>
  <c r="L29" i="61" s="1"/>
  <c r="C11" i="61"/>
  <c r="O25" i="61"/>
  <c r="O31" i="61" s="1"/>
  <c r="O47" i="61" s="1"/>
  <c r="O41" i="61"/>
  <c r="O50" i="61" s="1"/>
  <c r="O26" i="61"/>
  <c r="C44" i="60"/>
  <c r="C45" i="60" s="1"/>
  <c r="Q11" i="59"/>
  <c r="F11" i="59"/>
  <c r="C11" i="59"/>
  <c r="I11" i="59"/>
  <c r="L14" i="59"/>
  <c r="O29" i="59"/>
  <c r="O33" i="59"/>
  <c r="O35" i="59"/>
  <c r="L33" i="59"/>
  <c r="L35" i="59"/>
  <c r="E28" i="48"/>
  <c r="E33" i="48" s="1"/>
  <c r="E14" i="48"/>
  <c r="E12" i="48"/>
  <c r="O31" i="63"/>
  <c r="C25" i="62"/>
  <c r="C26" i="62" s="1"/>
  <c r="C23" i="62"/>
  <c r="C47" i="62" s="1"/>
  <c r="K23" i="62"/>
  <c r="K47" i="62" s="1"/>
  <c r="I25" i="62"/>
  <c r="I26" i="62" s="1"/>
  <c r="E17" i="62"/>
  <c r="E15" i="62"/>
  <c r="E16" i="62"/>
  <c r="E44" i="62" s="1"/>
  <c r="M25" i="62"/>
  <c r="K25" i="62"/>
  <c r="K26" i="62"/>
  <c r="E23" i="62"/>
  <c r="E47" i="62" s="1"/>
  <c r="M13" i="62"/>
  <c r="E24" i="62"/>
  <c r="E37" i="62" s="1"/>
  <c r="G15" i="62"/>
  <c r="G37" i="60"/>
  <c r="O31" i="59"/>
  <c r="C54" i="64" l="1"/>
  <c r="I15" i="63"/>
  <c r="I17" i="63"/>
  <c r="I19" i="63" s="1"/>
  <c r="I46" i="62"/>
  <c r="I54" i="62"/>
  <c r="E48" i="62"/>
  <c r="E51" i="62"/>
  <c r="E53" i="62"/>
  <c r="E50" i="62"/>
  <c r="E49" i="62"/>
  <c r="E36" i="62"/>
  <c r="E39" i="62" s="1"/>
  <c r="M30" i="64"/>
  <c r="M31" i="64" s="1"/>
  <c r="M14" i="64"/>
  <c r="M12" i="64"/>
  <c r="E41" i="62"/>
  <c r="M41" i="62"/>
  <c r="I15" i="64"/>
  <c r="I16" i="64"/>
  <c r="I30" i="64"/>
  <c r="I31" i="64" s="1"/>
  <c r="C41" i="62"/>
  <c r="C56" i="62"/>
  <c r="C62" i="62" s="1"/>
  <c r="G14" i="64"/>
  <c r="G12" i="64"/>
  <c r="G13" i="64" s="1"/>
  <c r="F14" i="63"/>
  <c r="F17" i="63" s="1"/>
  <c r="F19" i="63" s="1"/>
  <c r="F20" i="63" s="1"/>
  <c r="F22" i="63" s="1"/>
  <c r="F13" i="63"/>
  <c r="F34" i="63" s="1"/>
  <c r="F12" i="63"/>
  <c r="C14" i="63"/>
  <c r="C17" i="63" s="1"/>
  <c r="C19" i="63" s="1"/>
  <c r="C12" i="63"/>
  <c r="C13" i="63"/>
  <c r="C34" i="63" s="1"/>
  <c r="C28" i="63"/>
  <c r="C33" i="63" s="1"/>
  <c r="C50" i="62"/>
  <c r="C48" i="62"/>
  <c r="C53" i="62"/>
  <c r="C51" i="62"/>
  <c r="K41" i="62"/>
  <c r="K56" i="62"/>
  <c r="K62" i="62" s="1"/>
  <c r="Q14" i="63"/>
  <c r="Q17" i="63" s="1"/>
  <c r="Q12" i="63"/>
  <c r="Q13" i="63" s="1"/>
  <c r="Q34" i="63" s="1"/>
  <c r="Q28" i="63"/>
  <c r="Q33" i="63" s="1"/>
  <c r="E12" i="64"/>
  <c r="E14" i="64"/>
  <c r="E24" i="64" s="1"/>
  <c r="E25" i="64" s="1"/>
  <c r="E30" i="64"/>
  <c r="E31" i="64" s="1"/>
  <c r="E13" i="64"/>
  <c r="M50" i="62"/>
  <c r="M51" i="62"/>
  <c r="M48" i="62"/>
  <c r="M53" i="62"/>
  <c r="E54" i="62"/>
  <c r="Q35" i="61"/>
  <c r="I23" i="62"/>
  <c r="I47" i="62" s="1"/>
  <c r="E35" i="48"/>
  <c r="C23" i="64"/>
  <c r="G17" i="62"/>
  <c r="G32" i="62"/>
  <c r="G33" i="62" s="1"/>
  <c r="I24" i="63"/>
  <c r="I25" i="63" s="1"/>
  <c r="I26" i="63" s="1"/>
  <c r="K46" i="62"/>
  <c r="K54" i="62"/>
  <c r="I41" i="62"/>
  <c r="E45" i="62"/>
  <c r="E57" i="62" s="1"/>
  <c r="E17" i="64"/>
  <c r="E19" i="64" s="1"/>
  <c r="G41" i="62"/>
  <c r="K30" i="64"/>
  <c r="K31" i="64" s="1"/>
  <c r="K15" i="64"/>
  <c r="L15" i="63"/>
  <c r="L16" i="63" s="1"/>
  <c r="L37" i="63" s="1"/>
  <c r="L17" i="63"/>
  <c r="Q13" i="61"/>
  <c r="Q34" i="61" s="1"/>
  <c r="M26" i="62"/>
  <c r="M56" i="62" s="1"/>
  <c r="G24" i="62"/>
  <c r="C25" i="64"/>
  <c r="M54" i="60"/>
  <c r="I47" i="60"/>
  <c r="I56" i="60"/>
  <c r="I62" i="60" s="1"/>
  <c r="I54" i="60"/>
  <c r="I46" i="60"/>
  <c r="G47" i="60"/>
  <c r="G53" i="60"/>
  <c r="G48" i="60"/>
  <c r="G57" i="60" s="1"/>
  <c r="G50" i="60"/>
  <c r="G51" i="60"/>
  <c r="G36" i="60"/>
  <c r="G39" i="60" s="1"/>
  <c r="G49" i="60"/>
  <c r="G54" i="60"/>
  <c r="E53" i="60"/>
  <c r="E50" i="60"/>
  <c r="E51" i="60"/>
  <c r="C50" i="60"/>
  <c r="C51" i="60"/>
  <c r="O42" i="63"/>
  <c r="O47" i="63"/>
  <c r="O36" i="63"/>
  <c r="O46" i="63" s="1"/>
  <c r="O38" i="63"/>
  <c r="L36" i="61"/>
  <c r="L30" i="61"/>
  <c r="O59" i="61"/>
  <c r="C14" i="61"/>
  <c r="C15" i="61" s="1"/>
  <c r="C12" i="61"/>
  <c r="C13" i="61" s="1"/>
  <c r="C34" i="61" s="1"/>
  <c r="C28" i="61"/>
  <c r="C33" i="61" s="1"/>
  <c r="Q17" i="61"/>
  <c r="Q15" i="61"/>
  <c r="Q16" i="61" s="1"/>
  <c r="Q37" i="61" s="1"/>
  <c r="O52" i="61"/>
  <c r="L17" i="61"/>
  <c r="L15" i="61"/>
  <c r="L16" i="61" s="1"/>
  <c r="L37" i="61" s="1"/>
  <c r="F12" i="61"/>
  <c r="F13" i="61" s="1"/>
  <c r="F34" i="61" s="1"/>
  <c r="F14" i="61"/>
  <c r="F17" i="61" s="1"/>
  <c r="F19" i="61" s="1"/>
  <c r="F28" i="61"/>
  <c r="C47" i="60"/>
  <c r="C48" i="60" s="1"/>
  <c r="Q14" i="59"/>
  <c r="Q17" i="59"/>
  <c r="Q12" i="59"/>
  <c r="Q13" i="59" s="1"/>
  <c r="Q34" i="59" s="1"/>
  <c r="Q28" i="59"/>
  <c r="L17" i="59"/>
  <c r="L15" i="59"/>
  <c r="L16" i="59" s="1"/>
  <c r="L37" i="59" s="1"/>
  <c r="L29" i="59"/>
  <c r="I14" i="59"/>
  <c r="I17" i="59" s="1"/>
  <c r="I19" i="59" s="1"/>
  <c r="I20" i="59" s="1"/>
  <c r="I12" i="59"/>
  <c r="I13" i="59" s="1"/>
  <c r="I34" i="59" s="1"/>
  <c r="I28" i="59"/>
  <c r="C14" i="59"/>
  <c r="C17" i="59" s="1"/>
  <c r="C19" i="59" s="1"/>
  <c r="C20" i="59" s="1"/>
  <c r="C22" i="59" s="1"/>
  <c r="C12" i="59"/>
  <c r="C28" i="59"/>
  <c r="O47" i="59"/>
  <c r="F14" i="59"/>
  <c r="F17" i="59" s="1"/>
  <c r="F19" i="59" s="1"/>
  <c r="F20" i="59" s="1"/>
  <c r="F12" i="59"/>
  <c r="F28" i="59"/>
  <c r="O36" i="59"/>
  <c r="O43" i="59" s="1"/>
  <c r="O49" i="59" s="1"/>
  <c r="O38" i="59"/>
  <c r="E13" i="48"/>
  <c r="E34" i="48" s="1"/>
  <c r="E29" i="48"/>
  <c r="E36" i="48" s="1"/>
  <c r="E15" i="48"/>
  <c r="E38" i="48" s="1"/>
  <c r="E17" i="48"/>
  <c r="E19" i="48" s="1"/>
  <c r="G16" i="62"/>
  <c r="G44" i="62" s="1"/>
  <c r="E25" i="62"/>
  <c r="E37" i="60"/>
  <c r="Q15" i="54"/>
  <c r="Q12" i="54"/>
  <c r="Q6" i="54"/>
  <c r="M15" i="54"/>
  <c r="M12" i="54"/>
  <c r="M6" i="54"/>
  <c r="O22" i="54"/>
  <c r="O15" i="54"/>
  <c r="O12" i="54"/>
  <c r="O6" i="54"/>
  <c r="O24" i="54" s="1"/>
  <c r="O37" i="54" s="1"/>
  <c r="O36" i="54" s="1"/>
  <c r="K22" i="54"/>
  <c r="K15" i="54"/>
  <c r="K12" i="54"/>
  <c r="K6" i="54"/>
  <c r="K24" i="54" s="1"/>
  <c r="K37" i="54" s="1"/>
  <c r="K36" i="54" s="1"/>
  <c r="M57" i="62" l="1"/>
  <c r="F21" i="63"/>
  <c r="F23" i="63" s="1"/>
  <c r="F40" i="63" s="1"/>
  <c r="F39" i="63"/>
  <c r="F48" i="63"/>
  <c r="F41" i="63"/>
  <c r="E26" i="64"/>
  <c r="C20" i="63"/>
  <c r="C22" i="63" s="1"/>
  <c r="C48" i="63" s="1"/>
  <c r="C21" i="63"/>
  <c r="C23" i="63" s="1"/>
  <c r="M62" i="62"/>
  <c r="M65" i="62" s="1"/>
  <c r="M59" i="62"/>
  <c r="K55" i="64"/>
  <c r="E20" i="64"/>
  <c r="E22" i="64" s="1"/>
  <c r="E37" i="64"/>
  <c r="E47" i="64" s="1"/>
  <c r="E49" i="64" s="1"/>
  <c r="G30" i="64"/>
  <c r="G31" i="64" s="1"/>
  <c r="G15" i="64"/>
  <c r="G17" i="64"/>
  <c r="G19" i="64" s="1"/>
  <c r="G24" i="64"/>
  <c r="G25" i="64" s="1"/>
  <c r="I38" i="63"/>
  <c r="I18" i="63"/>
  <c r="K18" i="64"/>
  <c r="K19" i="64" s="1"/>
  <c r="E18" i="64"/>
  <c r="C35" i="63"/>
  <c r="I51" i="62"/>
  <c r="I50" i="62"/>
  <c r="I48" i="62"/>
  <c r="I53" i="62"/>
  <c r="K16" i="64"/>
  <c r="E59" i="62"/>
  <c r="E55" i="64"/>
  <c r="F35" i="63"/>
  <c r="F18" i="63"/>
  <c r="I18" i="64"/>
  <c r="I19" i="64" s="1"/>
  <c r="I16" i="63"/>
  <c r="I37" i="63" s="1"/>
  <c r="L38" i="63"/>
  <c r="L18" i="63"/>
  <c r="Q15" i="63"/>
  <c r="Q38" i="63" s="1"/>
  <c r="Q16" i="63"/>
  <c r="Q37" i="63" s="1"/>
  <c r="F15" i="63"/>
  <c r="F38" i="63" s="1"/>
  <c r="F16" i="63"/>
  <c r="F37" i="63" s="1"/>
  <c r="F24" i="63"/>
  <c r="F25" i="63" s="1"/>
  <c r="I55" i="64"/>
  <c r="M18" i="64"/>
  <c r="I31" i="63"/>
  <c r="I47" i="63" s="1"/>
  <c r="M15" i="64"/>
  <c r="M17" i="64"/>
  <c r="G25" i="62"/>
  <c r="G26" i="62" s="1"/>
  <c r="G56" i="62" s="1"/>
  <c r="G62" i="62" s="1"/>
  <c r="G37" i="62"/>
  <c r="L19" i="63"/>
  <c r="I56" i="62"/>
  <c r="I62" i="62" s="1"/>
  <c r="K51" i="62"/>
  <c r="K53" i="62"/>
  <c r="K48" i="62"/>
  <c r="K50" i="62"/>
  <c r="G43" i="62"/>
  <c r="E15" i="64"/>
  <c r="E16" i="64"/>
  <c r="Q18" i="63"/>
  <c r="Q19" i="63" s="1"/>
  <c r="Q35" i="63"/>
  <c r="C57" i="62"/>
  <c r="C15" i="63"/>
  <c r="C24" i="63"/>
  <c r="C25" i="63" s="1"/>
  <c r="C26" i="63" s="1"/>
  <c r="M13" i="64"/>
  <c r="M55" i="64"/>
  <c r="I20" i="63"/>
  <c r="I22" i="63" s="1"/>
  <c r="I21" i="63"/>
  <c r="I23" i="63" s="1"/>
  <c r="I40" i="63" s="1"/>
  <c r="C58" i="64"/>
  <c r="C26" i="64"/>
  <c r="M56" i="60"/>
  <c r="M62" i="60" s="1"/>
  <c r="M47" i="60"/>
  <c r="M53" i="60"/>
  <c r="M50" i="60"/>
  <c r="M51" i="60"/>
  <c r="M48" i="60"/>
  <c r="I53" i="60"/>
  <c r="I51" i="60"/>
  <c r="I48" i="60"/>
  <c r="I50" i="60"/>
  <c r="K54" i="60"/>
  <c r="K46" i="60"/>
  <c r="K47" i="60"/>
  <c r="K56" i="60"/>
  <c r="K62" i="60" s="1"/>
  <c r="E36" i="60"/>
  <c r="E39" i="60" s="1"/>
  <c r="E49" i="60"/>
  <c r="E54" i="60"/>
  <c r="E47" i="60"/>
  <c r="E48" i="60" s="1"/>
  <c r="E57" i="60" s="1"/>
  <c r="C57" i="60"/>
  <c r="C56" i="60"/>
  <c r="C62" i="60" s="1"/>
  <c r="O44" i="63"/>
  <c r="O43" i="63"/>
  <c r="O49" i="63" s="1"/>
  <c r="O56" i="63" s="1"/>
  <c r="O41" i="63"/>
  <c r="C17" i="61"/>
  <c r="C19" i="61" s="1"/>
  <c r="F33" i="61"/>
  <c r="F29" i="61"/>
  <c r="F36" i="61" s="1"/>
  <c r="F35" i="61"/>
  <c r="F20" i="61"/>
  <c r="F22" i="61" s="1"/>
  <c r="F21" i="61"/>
  <c r="F23" i="61" s="1"/>
  <c r="F40" i="61" s="1"/>
  <c r="L38" i="61"/>
  <c r="L18" i="61"/>
  <c r="L19" i="61" s="1"/>
  <c r="Q38" i="61"/>
  <c r="Q18" i="61"/>
  <c r="Q19" i="61" s="1"/>
  <c r="C24" i="61"/>
  <c r="C25" i="61" s="1"/>
  <c r="C18" i="61"/>
  <c r="C35" i="61"/>
  <c r="F15" i="61"/>
  <c r="F24" i="61"/>
  <c r="C16" i="61"/>
  <c r="C37" i="61" s="1"/>
  <c r="C38" i="61"/>
  <c r="L36" i="59"/>
  <c r="I33" i="59"/>
  <c r="C33" i="59"/>
  <c r="Q33" i="59"/>
  <c r="F33" i="59"/>
  <c r="Q35" i="59"/>
  <c r="Q15" i="59"/>
  <c r="Q16" i="59" s="1"/>
  <c r="Q37" i="59" s="1"/>
  <c r="Q29" i="59"/>
  <c r="Q36" i="59" s="1"/>
  <c r="C21" i="59"/>
  <c r="C23" i="59" s="1"/>
  <c r="C40" i="59" s="1"/>
  <c r="F22" i="59"/>
  <c r="F21" i="59" s="1"/>
  <c r="F23" i="59" s="1"/>
  <c r="F40" i="59" s="1"/>
  <c r="I35" i="59"/>
  <c r="I22" i="59"/>
  <c r="I21" i="59" s="1"/>
  <c r="I23" i="59" s="1"/>
  <c r="I40" i="59" s="1"/>
  <c r="L18" i="59"/>
  <c r="L19" i="59" s="1"/>
  <c r="L20" i="59" s="1"/>
  <c r="L38" i="59"/>
  <c r="C35" i="59"/>
  <c r="C15" i="59"/>
  <c r="C38" i="59" s="1"/>
  <c r="C24" i="59"/>
  <c r="F13" i="59"/>
  <c r="F34" i="59" s="1"/>
  <c r="F35" i="59"/>
  <c r="F15" i="59"/>
  <c r="F38" i="59" s="1"/>
  <c r="F24" i="59"/>
  <c r="F25" i="59" s="1"/>
  <c r="C13" i="59"/>
  <c r="C34" i="59" s="1"/>
  <c r="I15" i="59"/>
  <c r="I18" i="59" s="1"/>
  <c r="I29" i="59"/>
  <c r="I36" i="59" s="1"/>
  <c r="I24" i="59"/>
  <c r="I25" i="59" s="1"/>
  <c r="O56" i="59"/>
  <c r="O42" i="59"/>
  <c r="O46" i="59"/>
  <c r="O44" i="59"/>
  <c r="O41" i="59"/>
  <c r="E18" i="48"/>
  <c r="E16" i="48"/>
  <c r="E37" i="48" s="1"/>
  <c r="K42" i="54"/>
  <c r="K18" i="54"/>
  <c r="O42" i="54"/>
  <c r="O18" i="54"/>
  <c r="M18" i="54"/>
  <c r="M19" i="54" s="1"/>
  <c r="M42" i="54"/>
  <c r="Q18" i="54"/>
  <c r="Q19" i="54" s="1"/>
  <c r="Q42" i="54"/>
  <c r="O55" i="54"/>
  <c r="O46" i="54"/>
  <c r="K55" i="54"/>
  <c r="K46" i="54"/>
  <c r="M13" i="54"/>
  <c r="M41" i="54" s="1"/>
  <c r="E30" i="48"/>
  <c r="E20" i="48"/>
  <c r="E22" i="48" s="1"/>
  <c r="E39" i="48" s="1"/>
  <c r="E44" i="48" s="1"/>
  <c r="E24" i="48"/>
  <c r="E26" i="62"/>
  <c r="E56" i="62" s="1"/>
  <c r="E62" i="62" s="1"/>
  <c r="E65" i="62" s="1"/>
  <c r="K13" i="54"/>
  <c r="K41" i="54" s="1"/>
  <c r="Q13" i="54"/>
  <c r="Q41" i="54" s="1"/>
  <c r="O13" i="54"/>
  <c r="O41" i="54" s="1"/>
  <c r="Q16" i="54"/>
  <c r="Q44" i="54" s="1"/>
  <c r="Q45" i="54" s="1"/>
  <c r="M16" i="54"/>
  <c r="M44" i="54" s="1"/>
  <c r="M45" i="54" s="1"/>
  <c r="O25" i="54"/>
  <c r="O16" i="54"/>
  <c r="O44" i="54" s="1"/>
  <c r="O45" i="54" s="1"/>
  <c r="O21" i="54"/>
  <c r="K25" i="54"/>
  <c r="K16" i="54"/>
  <c r="K44" i="54" s="1"/>
  <c r="K45" i="54" s="1"/>
  <c r="K21" i="54"/>
  <c r="I22" i="54"/>
  <c r="I15" i="54"/>
  <c r="I12" i="54"/>
  <c r="I6" i="54"/>
  <c r="I24" i="54" s="1"/>
  <c r="I37" i="54" s="1"/>
  <c r="I36" i="54" s="1"/>
  <c r="G22" i="54"/>
  <c r="G15" i="54"/>
  <c r="G12" i="54"/>
  <c r="G6" i="54"/>
  <c r="G24" i="54" s="1"/>
  <c r="G37" i="54" s="1"/>
  <c r="G36" i="54" s="1"/>
  <c r="K57" i="62" l="1"/>
  <c r="K59" i="62" s="1"/>
  <c r="Q20" i="54"/>
  <c r="Q22" i="54" s="1"/>
  <c r="Q34" i="54"/>
  <c r="Q39" i="54" s="1"/>
  <c r="Q35" i="54"/>
  <c r="Q21" i="54"/>
  <c r="Q23" i="54" s="1"/>
  <c r="Q24" i="54"/>
  <c r="E54" i="64"/>
  <c r="Q20" i="63"/>
  <c r="Q22" i="63" s="1"/>
  <c r="Q24" i="63"/>
  <c r="Q25" i="63" s="1"/>
  <c r="C21" i="61"/>
  <c r="C23" i="61" s="1"/>
  <c r="C40" i="61" s="1"/>
  <c r="C20" i="61"/>
  <c r="C22" i="61" s="1"/>
  <c r="M19" i="64"/>
  <c r="F26" i="63"/>
  <c r="F31" i="63"/>
  <c r="F47" i="63" s="1"/>
  <c r="G16" i="64"/>
  <c r="I39" i="63"/>
  <c r="I48" i="63"/>
  <c r="I41" i="63"/>
  <c r="C16" i="63"/>
  <c r="C37" i="63" s="1"/>
  <c r="C38" i="63"/>
  <c r="L20" i="63"/>
  <c r="L22" i="63" s="1"/>
  <c r="L21" i="63"/>
  <c r="L23" i="63" s="1"/>
  <c r="L40" i="63" s="1"/>
  <c r="L24" i="63"/>
  <c r="L25" i="63" s="1"/>
  <c r="I47" i="64"/>
  <c r="I49" i="64" s="1"/>
  <c r="I20" i="64"/>
  <c r="I22" i="64" s="1"/>
  <c r="I24" i="64"/>
  <c r="K20" i="64"/>
  <c r="K22" i="64" s="1"/>
  <c r="K54" i="64"/>
  <c r="K24" i="64"/>
  <c r="K25" i="64" s="1"/>
  <c r="G26" i="64"/>
  <c r="G55" i="64"/>
  <c r="F46" i="63"/>
  <c r="F44" i="63"/>
  <c r="F50" i="63" s="1"/>
  <c r="F43" i="63"/>
  <c r="F49" i="63" s="1"/>
  <c r="F56" i="63" s="1"/>
  <c r="F42" i="63"/>
  <c r="G48" i="62"/>
  <c r="G51" i="62"/>
  <c r="G53" i="62"/>
  <c r="G50" i="62"/>
  <c r="G45" i="62"/>
  <c r="K65" i="62"/>
  <c r="E21" i="64"/>
  <c r="E56" i="64"/>
  <c r="G18" i="64"/>
  <c r="C65" i="62"/>
  <c r="C59" i="62"/>
  <c r="G49" i="62"/>
  <c r="G36" i="62"/>
  <c r="G39" i="62" s="1"/>
  <c r="M16" i="64"/>
  <c r="I57" i="62"/>
  <c r="C18" i="63"/>
  <c r="G47" i="64"/>
  <c r="G49" i="64" s="1"/>
  <c r="G20" i="64"/>
  <c r="G22" i="64" s="1"/>
  <c r="G54" i="62"/>
  <c r="C57" i="64"/>
  <c r="C60" i="64" s="1"/>
  <c r="C65" i="60"/>
  <c r="M57" i="60"/>
  <c r="M65" i="60" s="1"/>
  <c r="I57" i="60"/>
  <c r="K53" i="60"/>
  <c r="K51" i="60"/>
  <c r="K50" i="60"/>
  <c r="K48" i="60"/>
  <c r="G56" i="60"/>
  <c r="G62" i="60" s="1"/>
  <c r="G65" i="60" s="1"/>
  <c r="C59" i="60"/>
  <c r="O50" i="63"/>
  <c r="O59" i="63" s="1"/>
  <c r="C39" i="63"/>
  <c r="C46" i="63" s="1"/>
  <c r="C31" i="63"/>
  <c r="C47" i="63" s="1"/>
  <c r="C41" i="63"/>
  <c r="F38" i="61"/>
  <c r="C26" i="61"/>
  <c r="C31" i="61"/>
  <c r="C47" i="61" s="1"/>
  <c r="L20" i="61"/>
  <c r="L22" i="61" s="1"/>
  <c r="L24" i="61"/>
  <c r="C48" i="61"/>
  <c r="C39" i="61"/>
  <c r="F25" i="61"/>
  <c r="F31" i="61" s="1"/>
  <c r="F47" i="61" s="1"/>
  <c r="F41" i="61"/>
  <c r="F18" i="61"/>
  <c r="C41" i="61"/>
  <c r="F16" i="61"/>
  <c r="F37" i="61" s="1"/>
  <c r="Q20" i="61"/>
  <c r="Q22" i="61" s="1"/>
  <c r="Q21" i="61" s="1"/>
  <c r="Q23" i="61" s="1"/>
  <c r="Q40" i="61" s="1"/>
  <c r="Q24" i="61"/>
  <c r="F39" i="61"/>
  <c r="F48" i="61"/>
  <c r="F41" i="59"/>
  <c r="Q38" i="59"/>
  <c r="I16" i="59"/>
  <c r="I37" i="59" s="1"/>
  <c r="F16" i="59"/>
  <c r="F37" i="59" s="1"/>
  <c r="F18" i="59"/>
  <c r="Q18" i="59"/>
  <c r="Q19" i="59" s="1"/>
  <c r="Q20" i="59" s="1"/>
  <c r="Q22" i="59" s="1"/>
  <c r="I41" i="59"/>
  <c r="L22" i="59"/>
  <c r="L48" i="59" s="1"/>
  <c r="L24" i="59"/>
  <c r="L25" i="59" s="1"/>
  <c r="F48" i="59"/>
  <c r="F39" i="59"/>
  <c r="C48" i="59"/>
  <c r="C39" i="59"/>
  <c r="C41" i="59"/>
  <c r="I26" i="59"/>
  <c r="I31" i="59"/>
  <c r="I47" i="59" s="1"/>
  <c r="C18" i="59"/>
  <c r="F26" i="59"/>
  <c r="F31" i="59"/>
  <c r="C16" i="59"/>
  <c r="C37" i="59" s="1"/>
  <c r="I39" i="59"/>
  <c r="I46" i="59" s="1"/>
  <c r="I48" i="59"/>
  <c r="O50" i="59"/>
  <c r="O59" i="59" s="1"/>
  <c r="I38" i="59"/>
  <c r="C25" i="59"/>
  <c r="C31" i="59" s="1"/>
  <c r="E42" i="48"/>
  <c r="E43" i="48"/>
  <c r="E21" i="48"/>
  <c r="E23" i="48" s="1"/>
  <c r="E40" i="48" s="1"/>
  <c r="G18" i="54"/>
  <c r="G42" i="54"/>
  <c r="I18" i="54"/>
  <c r="I42" i="54"/>
  <c r="M20" i="54"/>
  <c r="M22" i="54" s="1"/>
  <c r="M34" i="54"/>
  <c r="M35" i="54" s="1"/>
  <c r="M24" i="54"/>
  <c r="O53" i="54"/>
  <c r="O54" i="54"/>
  <c r="O50" i="54"/>
  <c r="O51" i="54"/>
  <c r="O49" i="54"/>
  <c r="K49" i="54"/>
  <c r="K54" i="54" s="1"/>
  <c r="K53" i="54"/>
  <c r="K51" i="54"/>
  <c r="K50" i="54"/>
  <c r="I55" i="54"/>
  <c r="I46" i="54"/>
  <c r="G55" i="54"/>
  <c r="G46" i="54"/>
  <c r="I13" i="54"/>
  <c r="I41" i="54" s="1"/>
  <c r="G16" i="54"/>
  <c r="G44" i="54" s="1"/>
  <c r="G45" i="54" s="1"/>
  <c r="I21" i="54"/>
  <c r="I23" i="54" s="1"/>
  <c r="I47" i="54" s="1"/>
  <c r="E31" i="48"/>
  <c r="E47" i="48" s="1"/>
  <c r="E25" i="48"/>
  <c r="E26" i="48" s="1"/>
  <c r="E48" i="48"/>
  <c r="E56" i="60"/>
  <c r="I16" i="54"/>
  <c r="I44" i="54" s="1"/>
  <c r="I45" i="54" s="1"/>
  <c r="G21" i="54"/>
  <c r="G23" i="54" s="1"/>
  <c r="G47" i="54" s="1"/>
  <c r="O26" i="54"/>
  <c r="O23" i="54"/>
  <c r="K23" i="54"/>
  <c r="K26" i="54"/>
  <c r="I25" i="54"/>
  <c r="G13" i="54"/>
  <c r="G41" i="54" s="1"/>
  <c r="G25" i="54"/>
  <c r="E12" i="54"/>
  <c r="E6" i="54"/>
  <c r="E14" i="54" s="1"/>
  <c r="Q37" i="54" l="1"/>
  <c r="Q36" i="54" s="1"/>
  <c r="Q25" i="54"/>
  <c r="Q26" i="54" s="1"/>
  <c r="Q46" i="54"/>
  <c r="Q55" i="54"/>
  <c r="E23" i="64"/>
  <c r="E57" i="64" s="1"/>
  <c r="E58" i="64"/>
  <c r="K26" i="64"/>
  <c r="Q26" i="63"/>
  <c r="Q31" i="63"/>
  <c r="Q47" i="63" s="1"/>
  <c r="G21" i="64"/>
  <c r="G56" i="64"/>
  <c r="G57" i="62"/>
  <c r="G59" i="62" s="1"/>
  <c r="I25" i="64"/>
  <c r="I44" i="63"/>
  <c r="I43" i="63"/>
  <c r="I49" i="63" s="1"/>
  <c r="I42" i="63"/>
  <c r="I46" i="63"/>
  <c r="F52" i="63"/>
  <c r="F59" i="63"/>
  <c r="G54" i="64"/>
  <c r="K21" i="64"/>
  <c r="K56" i="64"/>
  <c r="I21" i="64"/>
  <c r="I56" i="64"/>
  <c r="Q48" i="63"/>
  <c r="Q39" i="63"/>
  <c r="Q41" i="63"/>
  <c r="I65" i="62"/>
  <c r="I59" i="62"/>
  <c r="L26" i="63"/>
  <c r="L31" i="63"/>
  <c r="L47" i="63" s="1"/>
  <c r="O52" i="63"/>
  <c r="G65" i="62"/>
  <c r="I54" i="64"/>
  <c r="L48" i="63"/>
  <c r="L39" i="63"/>
  <c r="L41" i="63"/>
  <c r="I50" i="63"/>
  <c r="M20" i="64"/>
  <c r="M22" i="64" s="1"/>
  <c r="M24" i="64"/>
  <c r="M25" i="64" s="1"/>
  <c r="Q21" i="63"/>
  <c r="Q23" i="63" s="1"/>
  <c r="Q40" i="63" s="1"/>
  <c r="C63" i="64"/>
  <c r="C66" i="64" s="1"/>
  <c r="M59" i="60"/>
  <c r="K57" i="60"/>
  <c r="K65" i="60" s="1"/>
  <c r="I59" i="60"/>
  <c r="I65" i="60"/>
  <c r="E62" i="60"/>
  <c r="E65" i="60" s="1"/>
  <c r="E59" i="60"/>
  <c r="G59" i="60"/>
  <c r="C42" i="63"/>
  <c r="C43" i="63"/>
  <c r="C44" i="63"/>
  <c r="C50" i="63" s="1"/>
  <c r="F26" i="61"/>
  <c r="L25" i="61"/>
  <c r="L31" i="61" s="1"/>
  <c r="L47" i="61" s="1"/>
  <c r="F43" i="61"/>
  <c r="F49" i="61" s="1"/>
  <c r="F56" i="61" s="1"/>
  <c r="F44" i="61"/>
  <c r="F50" i="61" s="1"/>
  <c r="F42" i="61"/>
  <c r="F46" i="61"/>
  <c r="Q41" i="61"/>
  <c r="Q48" i="61"/>
  <c r="Q39" i="61"/>
  <c r="L48" i="61"/>
  <c r="L39" i="61"/>
  <c r="C44" i="61"/>
  <c r="C50" i="61" s="1"/>
  <c r="C46" i="61"/>
  <c r="C43" i="61"/>
  <c r="C49" i="61" s="1"/>
  <c r="C42" i="61"/>
  <c r="L21" i="61"/>
  <c r="L23" i="61" s="1"/>
  <c r="L40" i="61" s="1"/>
  <c r="Q25" i="61"/>
  <c r="Q31" i="61" s="1"/>
  <c r="Q47" i="61" s="1"/>
  <c r="C47" i="59"/>
  <c r="F47" i="59"/>
  <c r="O52" i="59"/>
  <c r="Q48" i="59"/>
  <c r="Q39" i="59"/>
  <c r="Q21" i="59"/>
  <c r="Q23" i="59" s="1"/>
  <c r="Q40" i="59" s="1"/>
  <c r="Q24" i="59"/>
  <c r="Q25" i="59" s="1"/>
  <c r="L21" i="59"/>
  <c r="L23" i="59" s="1"/>
  <c r="L40" i="59" s="1"/>
  <c r="C44" i="59"/>
  <c r="C50" i="59" s="1"/>
  <c r="C43" i="59"/>
  <c r="C49" i="59" s="1"/>
  <c r="C56" i="59" s="1"/>
  <c r="C42" i="59"/>
  <c r="C46" i="59"/>
  <c r="L39" i="59"/>
  <c r="I42" i="59"/>
  <c r="L26" i="59"/>
  <c r="L31" i="59"/>
  <c r="L47" i="59" s="1"/>
  <c r="I43" i="59"/>
  <c r="I49" i="59" s="1"/>
  <c r="I56" i="59" s="1"/>
  <c r="I44" i="59"/>
  <c r="I50" i="59" s="1"/>
  <c r="C26" i="59"/>
  <c r="F44" i="59"/>
  <c r="F50" i="59" s="1"/>
  <c r="F43" i="59"/>
  <c r="F49" i="59" s="1"/>
  <c r="F56" i="59" s="1"/>
  <c r="F42" i="59"/>
  <c r="F46" i="59"/>
  <c r="E41" i="48"/>
  <c r="E32" i="54"/>
  <c r="E43" i="54" s="1"/>
  <c r="E17" i="54"/>
  <c r="E19" i="54" s="1"/>
  <c r="E24" i="54" s="1"/>
  <c r="E37" i="54" s="1"/>
  <c r="E36" i="54" s="1"/>
  <c r="E18" i="54"/>
  <c r="E42" i="54"/>
  <c r="M37" i="54"/>
  <c r="M36" i="54" s="1"/>
  <c r="M25" i="54"/>
  <c r="M26" i="54" s="1"/>
  <c r="M39" i="54"/>
  <c r="M46" i="54"/>
  <c r="M21" i="54"/>
  <c r="M23" i="54" s="1"/>
  <c r="M47" i="54" s="1"/>
  <c r="M55" i="54"/>
  <c r="Q47" i="54"/>
  <c r="Q48" i="54" s="1"/>
  <c r="O47" i="54"/>
  <c r="K47" i="54"/>
  <c r="I50" i="54"/>
  <c r="I56" i="54" s="1"/>
  <c r="I62" i="54" s="1"/>
  <c r="I53" i="54"/>
  <c r="I48" i="54"/>
  <c r="I51" i="54"/>
  <c r="I49" i="54"/>
  <c r="I54" i="54" s="1"/>
  <c r="G50" i="54"/>
  <c r="G56" i="54" s="1"/>
  <c r="G62" i="54" s="1"/>
  <c r="G51" i="54"/>
  <c r="G48" i="54"/>
  <c r="G57" i="54" s="1"/>
  <c r="G53" i="54"/>
  <c r="G49" i="54"/>
  <c r="G54" i="54" s="1"/>
  <c r="E13" i="54"/>
  <c r="E41" i="54" s="1"/>
  <c r="E49" i="48"/>
  <c r="E56" i="48" s="1"/>
  <c r="E46" i="48"/>
  <c r="F9" i="48" s="1"/>
  <c r="E50" i="48"/>
  <c r="I26" i="54"/>
  <c r="G26" i="54"/>
  <c r="E15" i="54"/>
  <c r="X28" i="48"/>
  <c r="X33" i="48" s="1"/>
  <c r="U28" i="48"/>
  <c r="U33" i="48" s="1"/>
  <c r="R28" i="48"/>
  <c r="R33" i="48" s="1"/>
  <c r="O28" i="48"/>
  <c r="O33" i="48" s="1"/>
  <c r="L28" i="48"/>
  <c r="L33" i="48" s="1"/>
  <c r="Q51" i="54" l="1"/>
  <c r="Q57" i="54" s="1"/>
  <c r="Q49" i="54"/>
  <c r="Q54" i="54" s="1"/>
  <c r="Q50" i="54"/>
  <c r="Q56" i="54" s="1"/>
  <c r="Q53" i="54"/>
  <c r="K59" i="60"/>
  <c r="M21" i="64"/>
  <c r="M56" i="64"/>
  <c r="I23" i="64"/>
  <c r="I58" i="64"/>
  <c r="L41" i="59"/>
  <c r="Q43" i="63"/>
  <c r="Q49" i="63" s="1"/>
  <c r="Q56" i="63" s="1"/>
  <c r="Q44" i="63"/>
  <c r="Q50" i="63" s="1"/>
  <c r="Q46" i="63"/>
  <c r="Q42" i="63"/>
  <c r="I56" i="63"/>
  <c r="I59" i="63" s="1"/>
  <c r="I52" i="63"/>
  <c r="E63" i="64"/>
  <c r="E66" i="64" s="1"/>
  <c r="E60" i="64"/>
  <c r="L26" i="61"/>
  <c r="M26" i="64"/>
  <c r="K23" i="64"/>
  <c r="K57" i="64" s="1"/>
  <c r="K63" i="64" s="1"/>
  <c r="K58" i="64"/>
  <c r="G59" i="54"/>
  <c r="M54" i="64"/>
  <c r="L44" i="63"/>
  <c r="L50" i="63" s="1"/>
  <c r="L46" i="63"/>
  <c r="L42" i="63"/>
  <c r="L43" i="63"/>
  <c r="L49" i="63" s="1"/>
  <c r="L56" i="63" s="1"/>
  <c r="I26" i="64"/>
  <c r="G23" i="64"/>
  <c r="G57" i="64" s="1"/>
  <c r="G58" i="64"/>
  <c r="C40" i="63"/>
  <c r="C49" i="63" s="1"/>
  <c r="F59" i="61"/>
  <c r="F52" i="61"/>
  <c r="L41" i="61"/>
  <c r="Q46" i="61"/>
  <c r="Q44" i="61"/>
  <c r="Q50" i="61" s="1"/>
  <c r="Q42" i="61"/>
  <c r="Q43" i="61"/>
  <c r="Q49" i="61" s="1"/>
  <c r="Q56" i="61" s="1"/>
  <c r="Q26" i="61"/>
  <c r="C56" i="61"/>
  <c r="C59" i="61" s="1"/>
  <c r="C52" i="61"/>
  <c r="L44" i="61"/>
  <c r="L46" i="61"/>
  <c r="L43" i="61"/>
  <c r="L49" i="61" s="1"/>
  <c r="L56" i="61" s="1"/>
  <c r="L42" i="61"/>
  <c r="I52" i="59"/>
  <c r="Q44" i="59"/>
  <c r="Q42" i="59"/>
  <c r="Q43" i="59"/>
  <c r="Q49" i="59" s="1"/>
  <c r="Q56" i="59" s="1"/>
  <c r="Q46" i="59"/>
  <c r="Q41" i="59"/>
  <c r="Q50" i="59" s="1"/>
  <c r="Q26" i="59"/>
  <c r="Q31" i="59"/>
  <c r="I59" i="59"/>
  <c r="C59" i="59"/>
  <c r="C52" i="59"/>
  <c r="F52" i="59"/>
  <c r="F59" i="59"/>
  <c r="L44" i="59"/>
  <c r="L46" i="59"/>
  <c r="L43" i="59"/>
  <c r="L49" i="59" s="1"/>
  <c r="L56" i="59" s="1"/>
  <c r="L42" i="59"/>
  <c r="E20" i="54"/>
  <c r="E22" i="54" s="1"/>
  <c r="E34" i="54"/>
  <c r="E35" i="54" s="1"/>
  <c r="M50" i="54"/>
  <c r="M56" i="54" s="1"/>
  <c r="M49" i="54"/>
  <c r="M54" i="54" s="1"/>
  <c r="M53" i="54"/>
  <c r="M51" i="54"/>
  <c r="M48" i="54"/>
  <c r="O56" i="54"/>
  <c r="O48" i="54"/>
  <c r="O57" i="54" s="1"/>
  <c r="K56" i="54"/>
  <c r="K48" i="54"/>
  <c r="K57" i="54" s="1"/>
  <c r="I57" i="54"/>
  <c r="I59" i="54" s="1"/>
  <c r="I65" i="54"/>
  <c r="G65" i="54"/>
  <c r="E16" i="54"/>
  <c r="E44" i="54" s="1"/>
  <c r="E45" i="54" s="1"/>
  <c r="E59" i="48"/>
  <c r="E52" i="48"/>
  <c r="E25" i="54"/>
  <c r="X29" i="48"/>
  <c r="X36" i="48" s="1"/>
  <c r="R29" i="48"/>
  <c r="R36" i="48" s="1"/>
  <c r="O29" i="48"/>
  <c r="O36" i="48" s="1"/>
  <c r="L59" i="63" l="1"/>
  <c r="Q59" i="54"/>
  <c r="Q62" i="54"/>
  <c r="Q65" i="54" s="1"/>
  <c r="Q59" i="63"/>
  <c r="K66" i="64"/>
  <c r="K60" i="64"/>
  <c r="Q52" i="63"/>
  <c r="I57" i="64"/>
  <c r="L50" i="59"/>
  <c r="L52" i="59" s="1"/>
  <c r="G63" i="64"/>
  <c r="G66" i="64" s="1"/>
  <c r="G60" i="64"/>
  <c r="L52" i="63"/>
  <c r="M23" i="64"/>
  <c r="M57" i="64" s="1"/>
  <c r="M63" i="64" s="1"/>
  <c r="M58" i="64"/>
  <c r="C56" i="63"/>
  <c r="C59" i="63" s="1"/>
  <c r="C52" i="63"/>
  <c r="Q59" i="61"/>
  <c r="L50" i="61"/>
  <c r="L59" i="61" s="1"/>
  <c r="Q52" i="61"/>
  <c r="Q47" i="59"/>
  <c r="Q59" i="59" s="1"/>
  <c r="M62" i="54"/>
  <c r="E55" i="54"/>
  <c r="E21" i="54"/>
  <c r="E23" i="54" s="1"/>
  <c r="E47" i="54" s="1"/>
  <c r="E39" i="54"/>
  <c r="E46" i="54"/>
  <c r="M57" i="54"/>
  <c r="M59" i="54" s="1"/>
  <c r="O59" i="54"/>
  <c r="O62" i="54"/>
  <c r="O65" i="54" s="1"/>
  <c r="K62" i="54"/>
  <c r="K65" i="54" s="1"/>
  <c r="K59" i="54"/>
  <c r="E26" i="54"/>
  <c r="U29" i="48"/>
  <c r="U36" i="48" s="1"/>
  <c r="AE6" i="48"/>
  <c r="AE11" i="48" s="1"/>
  <c r="Z6" i="48"/>
  <c r="X15" i="48"/>
  <c r="X38" i="48" s="1"/>
  <c r="X12" i="48"/>
  <c r="X35" i="48" s="1"/>
  <c r="U15" i="48"/>
  <c r="U12" i="48"/>
  <c r="U35" i="48" s="1"/>
  <c r="R15" i="48"/>
  <c r="R38" i="48" s="1"/>
  <c r="R12" i="48"/>
  <c r="R35" i="48" s="1"/>
  <c r="O15" i="48"/>
  <c r="O38" i="48" s="1"/>
  <c r="O12" i="48"/>
  <c r="O35" i="48" s="1"/>
  <c r="L12" i="48"/>
  <c r="L35" i="48" s="1"/>
  <c r="L6" i="48"/>
  <c r="L14" i="48" s="1"/>
  <c r="I6" i="48"/>
  <c r="L59" i="59" l="1"/>
  <c r="I63" i="64"/>
  <c r="I66" i="64" s="1"/>
  <c r="I60" i="64"/>
  <c r="M66" i="64"/>
  <c r="M60" i="64"/>
  <c r="L52" i="61"/>
  <c r="Q52" i="59"/>
  <c r="Z11" i="48"/>
  <c r="U38" i="48"/>
  <c r="E53" i="54"/>
  <c r="E51" i="54"/>
  <c r="E49" i="54"/>
  <c r="E54" i="54" s="1"/>
  <c r="E50" i="54"/>
  <c r="E56" i="54" s="1"/>
  <c r="M65" i="54"/>
  <c r="E48" i="54"/>
  <c r="E57" i="54" s="1"/>
  <c r="I11" i="48"/>
  <c r="AE14" i="48"/>
  <c r="AE17" i="48" s="1"/>
  <c r="AE12" i="48"/>
  <c r="AE28" i="48"/>
  <c r="AE33" i="48" s="1"/>
  <c r="L17" i="48"/>
  <c r="L29" i="48"/>
  <c r="L36" i="48" s="1"/>
  <c r="U18" i="48"/>
  <c r="R18" i="48"/>
  <c r="R19" i="48" s="1"/>
  <c r="R30" i="48" s="1"/>
  <c r="X18" i="48"/>
  <c r="X19" i="48" s="1"/>
  <c r="O18" i="48"/>
  <c r="O19" i="48" s="1"/>
  <c r="O13" i="48"/>
  <c r="O34" i="48" s="1"/>
  <c r="R16" i="48"/>
  <c r="R37" i="48" s="1"/>
  <c r="U16" i="48"/>
  <c r="U37" i="48" s="1"/>
  <c r="L13" i="48"/>
  <c r="L34" i="48" s="1"/>
  <c r="AE25" i="48"/>
  <c r="AE13" i="48"/>
  <c r="AE34" i="48" s="1"/>
  <c r="X16" i="48"/>
  <c r="X37" i="48" s="1"/>
  <c r="X13" i="48"/>
  <c r="X34" i="48" s="1"/>
  <c r="U13" i="48"/>
  <c r="U34" i="48" s="1"/>
  <c r="R13" i="48"/>
  <c r="R34" i="48" s="1"/>
  <c r="O16" i="48"/>
  <c r="O37" i="48" s="1"/>
  <c r="L15" i="48"/>
  <c r="L38" i="48" s="1"/>
  <c r="Z14" i="48" l="1"/>
  <c r="Z17" i="48" s="1"/>
  <c r="Z12" i="48"/>
  <c r="Z28" i="48"/>
  <c r="Z33" i="48" s="1"/>
  <c r="AE35" i="48"/>
  <c r="E62" i="54"/>
  <c r="E65" i="54" s="1"/>
  <c r="E59" i="54"/>
  <c r="AE29" i="48"/>
  <c r="AE36" i="48" s="1"/>
  <c r="AE15" i="48"/>
  <c r="I14" i="48"/>
  <c r="I17" i="48" s="1"/>
  <c r="I28" i="48"/>
  <c r="I33" i="48" s="1"/>
  <c r="I12" i="48"/>
  <c r="I35" i="48" s="1"/>
  <c r="U22" i="48"/>
  <c r="U21" i="48" s="1"/>
  <c r="U23" i="48" s="1"/>
  <c r="U40" i="48" s="1"/>
  <c r="U31" i="48"/>
  <c r="U30" i="48"/>
  <c r="U41" i="48" s="1"/>
  <c r="R20" i="48"/>
  <c r="R22" i="48" s="1"/>
  <c r="R39" i="48" s="1"/>
  <c r="X20" i="48"/>
  <c r="X22" i="48" s="1"/>
  <c r="X30" i="48"/>
  <c r="R47" i="48"/>
  <c r="O20" i="48"/>
  <c r="O22" i="48" s="1"/>
  <c r="O30" i="48"/>
  <c r="L18" i="48"/>
  <c r="L19" i="48" s="1"/>
  <c r="AE26" i="48"/>
  <c r="L16" i="48"/>
  <c r="L37" i="48" s="1"/>
  <c r="X39" i="48" l="1"/>
  <c r="AE38" i="48"/>
  <c r="R44" i="48"/>
  <c r="R42" i="48"/>
  <c r="R43" i="48"/>
  <c r="Z13" i="48"/>
  <c r="Z34" i="48" s="1"/>
  <c r="Z35" i="48"/>
  <c r="Z18" i="48"/>
  <c r="Z19" i="48" s="1"/>
  <c r="O39" i="48"/>
  <c r="Z15" i="48"/>
  <c r="Z16" i="48"/>
  <c r="Z37" i="48" s="1"/>
  <c r="Z29" i="48"/>
  <c r="Z36" i="48" s="1"/>
  <c r="U48" i="48"/>
  <c r="U39" i="48"/>
  <c r="I19" i="48"/>
  <c r="I24" i="48" s="1"/>
  <c r="I13" i="48"/>
  <c r="I34" i="48" s="1"/>
  <c r="AE18" i="48"/>
  <c r="AE19" i="48" s="1"/>
  <c r="U47" i="48"/>
  <c r="AE16" i="48"/>
  <c r="AE37" i="48" s="1"/>
  <c r="I29" i="48"/>
  <c r="I36" i="48" s="1"/>
  <c r="I15" i="48"/>
  <c r="X48" i="48"/>
  <c r="X21" i="48"/>
  <c r="X41" i="48" s="1"/>
  <c r="R46" i="48"/>
  <c r="R48" i="48"/>
  <c r="R21" i="48"/>
  <c r="X23" i="48"/>
  <c r="X40" i="48" s="1"/>
  <c r="O48" i="48"/>
  <c r="O21" i="48"/>
  <c r="L24" i="48"/>
  <c r="L25" i="48" s="1"/>
  <c r="L20" i="48"/>
  <c r="L22" i="48" s="1"/>
  <c r="L30" i="48"/>
  <c r="O6" i="48"/>
  <c r="X6" i="48"/>
  <c r="X24" i="48" s="1"/>
  <c r="X31" i="48" s="1"/>
  <c r="X42" i="48" s="1"/>
  <c r="U6" i="48"/>
  <c r="R6" i="48"/>
  <c r="R24" i="48" s="1"/>
  <c r="F6" i="48"/>
  <c r="F11" i="48" s="1"/>
  <c r="C6" i="48"/>
  <c r="C11" i="48" l="1"/>
  <c r="C12" i="48" s="1"/>
  <c r="I25" i="48"/>
  <c r="I31" i="48" s="1"/>
  <c r="I26" i="48"/>
  <c r="Z20" i="48"/>
  <c r="Z22" i="48" s="1"/>
  <c r="Z30" i="48"/>
  <c r="Z47" i="48" s="1"/>
  <c r="Z24" i="48"/>
  <c r="Z25" i="48" s="1"/>
  <c r="Z26" i="48" s="1"/>
  <c r="L39" i="48"/>
  <c r="L46" i="48" s="1"/>
  <c r="O43" i="48"/>
  <c r="O42" i="48"/>
  <c r="O44" i="48"/>
  <c r="Z38" i="48"/>
  <c r="I38" i="48"/>
  <c r="U42" i="48"/>
  <c r="R23" i="48"/>
  <c r="R40" i="48" s="1"/>
  <c r="R41" i="48"/>
  <c r="X46" i="48"/>
  <c r="F14" i="48"/>
  <c r="F17" i="48" s="1"/>
  <c r="F19" i="48" s="1"/>
  <c r="F28" i="48"/>
  <c r="F33" i="48" s="1"/>
  <c r="F12" i="48"/>
  <c r="F35" i="48" s="1"/>
  <c r="F13" i="48"/>
  <c r="F34" i="48" s="1"/>
  <c r="I16" i="48"/>
  <c r="I37" i="48" s="1"/>
  <c r="I18" i="48"/>
  <c r="AE20" i="48"/>
  <c r="AE22" i="48" s="1"/>
  <c r="AE30" i="48"/>
  <c r="I20" i="48"/>
  <c r="I22" i="48" s="1"/>
  <c r="L21" i="48"/>
  <c r="L41" i="48" s="1"/>
  <c r="O46" i="48"/>
  <c r="U46" i="48"/>
  <c r="L31" i="48"/>
  <c r="L47" i="48" s="1"/>
  <c r="L48" i="48"/>
  <c r="L26" i="48"/>
  <c r="O23" i="48"/>
  <c r="O40" i="48" s="1"/>
  <c r="I47" i="48"/>
  <c r="X25" i="48"/>
  <c r="U24" i="48"/>
  <c r="R25" i="48"/>
  <c r="O24" i="48"/>
  <c r="O41" i="48" s="1"/>
  <c r="C13" i="48" l="1"/>
  <c r="C34" i="48" s="1"/>
  <c r="C28" i="48"/>
  <c r="C33" i="48" s="1"/>
  <c r="C14" i="48"/>
  <c r="C17" i="48" s="1"/>
  <c r="AE39" i="48"/>
  <c r="F29" i="48"/>
  <c r="F36" i="48" s="1"/>
  <c r="X26" i="48"/>
  <c r="X43" i="48" s="1"/>
  <c r="X49" i="48" s="1"/>
  <c r="X56" i="48" s="1"/>
  <c r="X44" i="48"/>
  <c r="I21" i="48"/>
  <c r="I39" i="48"/>
  <c r="L44" i="48"/>
  <c r="L50" i="48" s="1"/>
  <c r="L43" i="48"/>
  <c r="L42" i="48"/>
  <c r="Z21" i="48"/>
  <c r="Z39" i="48"/>
  <c r="Z48" i="48"/>
  <c r="C19" i="48"/>
  <c r="C20" i="48" s="1"/>
  <c r="C22" i="48" s="1"/>
  <c r="L23" i="48"/>
  <c r="C29" i="48"/>
  <c r="C36" i="48" s="1"/>
  <c r="I48" i="48"/>
  <c r="AE47" i="48"/>
  <c r="AE48" i="48"/>
  <c r="AE21" i="48"/>
  <c r="AE23" i="48" s="1"/>
  <c r="AE40" i="48" s="1"/>
  <c r="C35" i="48"/>
  <c r="U25" i="48"/>
  <c r="U44" i="48" s="1"/>
  <c r="R26" i="48"/>
  <c r="R50" i="48"/>
  <c r="O25" i="48"/>
  <c r="F15" i="48"/>
  <c r="F38" i="48" s="1"/>
  <c r="C15" i="48" l="1"/>
  <c r="C16" i="48" s="1"/>
  <c r="C37" i="48" s="1"/>
  <c r="C24" i="48"/>
  <c r="C31" i="48" s="1"/>
  <c r="I42" i="48"/>
  <c r="I43" i="48"/>
  <c r="I44" i="48"/>
  <c r="L40" i="48"/>
  <c r="L49" i="48" s="1"/>
  <c r="AE43" i="48"/>
  <c r="AE49" i="48" s="1"/>
  <c r="AE42" i="48"/>
  <c r="AE44" i="48"/>
  <c r="Z46" i="48"/>
  <c r="Z42" i="48"/>
  <c r="Z43" i="48"/>
  <c r="Z44" i="48"/>
  <c r="Z23" i="48"/>
  <c r="Z40" i="48" s="1"/>
  <c r="Z41" i="48"/>
  <c r="I23" i="48"/>
  <c r="I40" i="48" s="1"/>
  <c r="I41" i="48"/>
  <c r="AE41" i="48"/>
  <c r="AE50" i="48" s="1"/>
  <c r="U26" i="48"/>
  <c r="C48" i="48"/>
  <c r="I49" i="48"/>
  <c r="I56" i="48" s="1"/>
  <c r="I46" i="48"/>
  <c r="AE46" i="48"/>
  <c r="C18" i="48"/>
  <c r="C38" i="48"/>
  <c r="C30" i="48"/>
  <c r="C21" i="48"/>
  <c r="C23" i="48" s="1"/>
  <c r="C40" i="48" s="1"/>
  <c r="U50" i="48"/>
  <c r="F18" i="48"/>
  <c r="X47" i="48"/>
  <c r="X50" i="48"/>
  <c r="R49" i="48"/>
  <c r="R56" i="48" s="1"/>
  <c r="R59" i="48" s="1"/>
  <c r="O26" i="48"/>
  <c r="O31" i="48"/>
  <c r="F16" i="48"/>
  <c r="F37" i="48" s="1"/>
  <c r="C25" i="48" l="1"/>
  <c r="C26" i="48"/>
  <c r="I50" i="48"/>
  <c r="Z50" i="48"/>
  <c r="L56" i="48"/>
  <c r="L59" i="48" s="1"/>
  <c r="L52" i="48"/>
  <c r="Z49" i="48"/>
  <c r="U49" i="48"/>
  <c r="AE56" i="48"/>
  <c r="AE59" i="48" s="1"/>
  <c r="AE52" i="48"/>
  <c r="I59" i="48"/>
  <c r="C41" i="48"/>
  <c r="C39" i="48"/>
  <c r="I52" i="48"/>
  <c r="O49" i="48"/>
  <c r="F20" i="48"/>
  <c r="F22" i="48" s="1"/>
  <c r="F24" i="48"/>
  <c r="F30" i="48"/>
  <c r="X59" i="48"/>
  <c r="O47" i="48"/>
  <c r="R52" i="48"/>
  <c r="C47" i="48"/>
  <c r="O50" i="48"/>
  <c r="X52" i="48"/>
  <c r="F39" i="48" l="1"/>
  <c r="F42" i="48"/>
  <c r="F43" i="48"/>
  <c r="F44" i="48"/>
  <c r="Z56" i="48"/>
  <c r="Z59" i="48" s="1"/>
  <c r="Z52" i="48"/>
  <c r="F21" i="48"/>
  <c r="F41" i="48" s="1"/>
  <c r="C43" i="48"/>
  <c r="C49" i="48" s="1"/>
  <c r="C56" i="48" s="1"/>
  <c r="C42" i="48"/>
  <c r="U56" i="48"/>
  <c r="U59" i="48" s="1"/>
  <c r="U52" i="48"/>
  <c r="C44" i="48"/>
  <c r="C50" i="48" s="1"/>
  <c r="C46" i="48"/>
  <c r="F23" i="48"/>
  <c r="F40" i="48" s="1"/>
  <c r="F48" i="48"/>
  <c r="F46" i="48"/>
  <c r="F25" i="48"/>
  <c r="O52" i="48"/>
  <c r="O56" i="48"/>
  <c r="O59" i="48" s="1"/>
  <c r="C59" i="48" l="1"/>
  <c r="C52" i="48"/>
  <c r="F26" i="48"/>
  <c r="F31" i="48"/>
  <c r="F50" i="48" l="1"/>
  <c r="F49" i="48"/>
  <c r="F56" i="48" s="1"/>
  <c r="F47" i="48"/>
  <c r="F59" i="48" l="1"/>
  <c r="F52" i="48"/>
</calcChain>
</file>

<file path=xl/sharedStrings.xml><?xml version="1.0" encoding="utf-8"?>
<sst xmlns="http://schemas.openxmlformats.org/spreadsheetml/2006/main" count="620" uniqueCount="137">
  <si>
    <t>Ingred. Cost</t>
  </si>
  <si>
    <t>Total Cost</t>
  </si>
  <si>
    <t>Final Patient Pay</t>
  </si>
  <si>
    <t>Totals</t>
  </si>
  <si>
    <t>Total Claim</t>
  </si>
  <si>
    <t>Plan Paid</t>
  </si>
  <si>
    <t>Part D processing</t>
  </si>
  <si>
    <t>PLRO</t>
  </si>
  <si>
    <t>IC mbr</t>
  </si>
  <si>
    <t>IC pln</t>
  </si>
  <si>
    <t>CG mbr</t>
  </si>
  <si>
    <t>CG disc</t>
  </si>
  <si>
    <t>CG pln</t>
  </si>
  <si>
    <t>CAT mbr</t>
  </si>
  <si>
    <t>DD mbr</t>
  </si>
  <si>
    <t>DD pln</t>
  </si>
  <si>
    <t>CAT pln</t>
  </si>
  <si>
    <t>CG Disc</t>
  </si>
  <si>
    <t>Troop Accum</t>
  </si>
  <si>
    <t>Drug Spend Accum</t>
  </si>
  <si>
    <t>DD phase Total</t>
  </si>
  <si>
    <t>IC phase Total</t>
  </si>
  <si>
    <t>CG phase Total</t>
  </si>
  <si>
    <t>CAT phase Total</t>
  </si>
  <si>
    <t>CG phase Ingr Cost</t>
  </si>
  <si>
    <t>Claim Left</t>
  </si>
  <si>
    <t>SWRP Processing</t>
  </si>
  <si>
    <t>Claim Amounts</t>
  </si>
  <si>
    <t>CAT mbr (5.00 lesser of PD) NO Cat copay on straddle</t>
  </si>
  <si>
    <t>SWRP IC Max Copay  - parm = Y</t>
  </si>
  <si>
    <t>SWRP CG Max Copay  - parm = Y</t>
  </si>
  <si>
    <t>n/a</t>
  </si>
  <si>
    <t xml:space="preserve">DD
</t>
  </si>
  <si>
    <t>Troop Applied</t>
  </si>
  <si>
    <t>IC mbr (25% with  20.00 Max)</t>
  </si>
  <si>
    <t>CG mbr (25% with 30.00 Max)</t>
  </si>
  <si>
    <t>Final Accumulator Amounts</t>
  </si>
  <si>
    <t>PDE - SWRP Plan Types are always Defined Standard (DS)</t>
  </si>
  <si>
    <t>CMS Plan Type = NOT EA Calculations</t>
  </si>
  <si>
    <t>NON-EA CPP (Total Plan Dollars - MME Amt)</t>
  </si>
  <si>
    <t>NON-EA NPP  (MME Amt)</t>
  </si>
  <si>
    <t>Balance Check</t>
  </si>
  <si>
    <t>Payment Costs + Plan Costs = Total Claim Amt
Payment Costs = Patient Pay + Other TrOOP + LIS Amt + CG Disc + PLRO
Plan Costs = CPP + NPP</t>
  </si>
  <si>
    <t>Left to meet Troop after processing DD &amp; IC</t>
  </si>
  <si>
    <t>CAT mbr (5.00 copay) NO Cat copay on straddle into CAT claims</t>
  </si>
  <si>
    <t>Troop applied</t>
  </si>
  <si>
    <t>DD mbr (50% with 10.00 Max)</t>
  </si>
  <si>
    <t>IC mbr (25% with 20.00 Max)</t>
  </si>
  <si>
    <t>SDD left to meet  (100%)</t>
  </si>
  <si>
    <t>SDD apllied in DD</t>
  </si>
  <si>
    <t>SDD applied in IC</t>
  </si>
  <si>
    <t>SDD applied in CG</t>
  </si>
  <si>
    <t>SDD limit</t>
  </si>
  <si>
    <t>SDD applied in CAT</t>
  </si>
  <si>
    <t>SDD mbr</t>
  </si>
  <si>
    <t>DD</t>
  </si>
  <si>
    <t xml:space="preserve">DD
</t>
  </si>
  <si>
    <t>DD/IC
Preload DD
Plan dollars
$405.00</t>
  </si>
  <si>
    <t>DD/IC
Preload DD
 Plan dollars
$430.00</t>
  </si>
  <si>
    <t>DD
Preload SDD
Member dollars
$40</t>
  </si>
  <si>
    <t>CG
Preload IC
Plan dollars
$4430.00
Preload SDD
Member dollars
$70.00</t>
  </si>
  <si>
    <t>IC
Preload DD
Plan dollars
$480.00
Preload SDD
Member dollars
$40.00</t>
  </si>
  <si>
    <t>DD
Preload SDD
Member dollars
$10.00</t>
  </si>
  <si>
    <t>DD
prereq</t>
  </si>
  <si>
    <t>DD/IC
prereq</t>
  </si>
  <si>
    <t>SWRP DED Max Copay - parm = Y</t>
  </si>
  <si>
    <t>SWRP DED Max Copay = Y</t>
  </si>
  <si>
    <t>SWRP IC Max Copay = Y</t>
  </si>
  <si>
    <t>SWRP CG Max Copay = Y</t>
  </si>
  <si>
    <t>DD mbr  (100%)</t>
  </si>
  <si>
    <t>IC mbr (25%)</t>
  </si>
  <si>
    <t>CG Disc (CG Total * 70%)</t>
  </si>
  <si>
    <t>CAT mbr (greater of 5% or CAT MIN 9.85)</t>
  </si>
  <si>
    <t>CG mbr (95% - CG Disc)</t>
  </si>
  <si>
    <t>DD/IC</t>
  </si>
  <si>
    <t>IC</t>
  </si>
  <si>
    <t>IC/CG</t>
  </si>
  <si>
    <t>CG</t>
  </si>
  <si>
    <t>DD/CG</t>
  </si>
  <si>
    <t>CG mbr (25% with NO Max)</t>
  </si>
  <si>
    <r>
      <t xml:space="preserve">2022
Accumulator limits
</t>
    </r>
    <r>
      <rPr>
        <b/>
        <sz val="10"/>
        <color rgb="FFFF0000"/>
        <rFont val="Calibri"/>
        <family val="2"/>
        <scheme val="minor"/>
      </rPr>
      <t>SDD - 80.00</t>
    </r>
    <r>
      <rPr>
        <b/>
        <sz val="10"/>
        <rFont val="Calibri"/>
        <family val="2"/>
        <scheme val="minor"/>
      </rPr>
      <t xml:space="preserve">
DD - 480.00
IC - 4430.00
CG - 7050.00
SWRP Costshare Basis:  Remaining Phase Amt ALL Phases
MAX copay in DD, IC &amp; CG
Straddle Rules:
DD/IC - Copay to Copay Rule(Under)
IC/CG - Copay to Copay Rule(Under)
CG/CAT - No CAT costshare</t>
    </r>
  </si>
  <si>
    <t>2022
Accumulator limits PLDSWRP1
DD - 480.00
IC - 4430.00
CG - 7050.00
SWRP Costshare Basis:  Remaining Phase Amt ALL Phases
MAX copays only in DD &amp; IC
Straddle Rules:
DD/IC - Copay to Copay Rule(Under)
IC/CG - Copay to Copay Rule(Under)
CG/CAT - No CAT costshare</t>
  </si>
  <si>
    <t>2022
DD - 480.00
IC - 4430.00
CG - 7050.00
SWRP Costshare Basis:  Remaining Phase Amt ALL Phases
MAX copays only in DD &amp; IC
Straddle Rules:
DD/IC - Copay to Copay Rule(Under)
IC/CG - Copay to Copay Rule(Under)
CG/CAT - No CAT costshare</t>
  </si>
  <si>
    <t>2022
Accumulator limits PLDSWRP1
DD - 480.00
IC - 4430.00
CG - 7050.00
SWRP Costshare Basis:  Remaining Phase Amt ALL Phases
MAX copays only in IC &amp; CG
Straddle Rules:
DD/IC - Copay to Copay Rule(Under)
IC/CG - Copay to Copay Rule(Under)
CG/CAT - No CAT costshare</t>
  </si>
  <si>
    <t>2022
Accumulator limits
DD - 480.00
IC - 4430.00
CG - 7050.00
SWRP Costshare Basis:  Full Claim Amt DD&amp;IC
MAX copay in DD, IC &amp; CG
Straddle Rules:
CG/CAT - NO CAT costshare</t>
  </si>
  <si>
    <t>DD/CG
prereq</t>
  </si>
  <si>
    <t>Troop Applied Amount</t>
  </si>
  <si>
    <t>DD/IC
Preload DD
 Plan dollars
$475.00</t>
  </si>
  <si>
    <t>IC
Preload DD
Plan dollars
$480.00</t>
  </si>
  <si>
    <t>IC/CG
Preload IC
Plan dollars
$3610.00</t>
  </si>
  <si>
    <t>CG
Preload IC
Plan dollars
$4430.00</t>
  </si>
  <si>
    <t>Ingredient Cost</t>
  </si>
  <si>
    <t>2022
Accumulator limits
SDD - 80.00
DD - 480.00
IC - 4430.00
CG - 7050.00
SWRP Costshare Basis:  Full Claim Amt DD&amp;IC
MAX copay in DD, IC &amp; CG
Straddle Rules:
CG/CAT - NO CAT costshare</t>
  </si>
  <si>
    <t>Total SWRP mbr - SDD</t>
  </si>
  <si>
    <t>Total SWRP (SDD + costshare)</t>
  </si>
  <si>
    <t>Troop left after processing DD &amp; IC</t>
  </si>
  <si>
    <t>DD/IC
Preload DD
Plan dollars
$475.00</t>
  </si>
  <si>
    <t>IC/CG
Preload IC
Plan dollars
$4410.00</t>
  </si>
  <si>
    <t>CG
Preload IC
Plan dollars
$4430</t>
  </si>
  <si>
    <t xml:space="preserve">DD PLRO </t>
  </si>
  <si>
    <t xml:space="preserve">IC mbr  </t>
  </si>
  <si>
    <t xml:space="preserve">IC pln </t>
  </si>
  <si>
    <t xml:space="preserve">IC PLRO </t>
  </si>
  <si>
    <t xml:space="preserve">CG mbr  </t>
  </si>
  <si>
    <t xml:space="preserve">CG pln </t>
  </si>
  <si>
    <t xml:space="preserve">CG PLRO </t>
  </si>
  <si>
    <t xml:space="preserve">CAT mbr </t>
  </si>
  <si>
    <t xml:space="preserve">CAT pln </t>
  </si>
  <si>
    <t xml:space="preserve">CAT PLRO </t>
  </si>
  <si>
    <t xml:space="preserve">DD pln </t>
  </si>
  <si>
    <t xml:space="preserve">IC mbr </t>
  </si>
  <si>
    <t xml:space="preserve">IC PLRO  </t>
  </si>
  <si>
    <t>SDD applied to DD</t>
  </si>
  <si>
    <t>SDD applied to IC</t>
  </si>
  <si>
    <t>SDD applied to CG</t>
  </si>
  <si>
    <t xml:space="preserve">DD/CG
</t>
  </si>
  <si>
    <t>DD mbr (50% with No Max)</t>
  </si>
  <si>
    <t>DD mbr (50% with NO Max)</t>
  </si>
  <si>
    <r>
      <t xml:space="preserve">2022
Accumulator limits
</t>
    </r>
    <r>
      <rPr>
        <b/>
        <sz val="9"/>
        <color rgb="FFFF0000"/>
        <rFont val="Calibri"/>
        <family val="2"/>
        <scheme val="minor"/>
      </rPr>
      <t>SDD - 80.00</t>
    </r>
    <r>
      <rPr>
        <b/>
        <sz val="9"/>
        <rFont val="Calibri"/>
        <family val="2"/>
        <scheme val="minor"/>
      </rPr>
      <t xml:space="preserve">
DD - 480.00
IC - 4430.00
CG - 7050.00
SWRP Costshare Basis:  Remaining Phase Amt ALL Phases
MAX copay only in  IC &amp; CG
Straddle Rules:
DD/IC - Copay to Copay Rule(Under)
IC/CG - Copay to Copay Rule(Under)
CG/CAT - No CAT costshare</t>
    </r>
  </si>
  <si>
    <t>DD
prereq
SWRP DD costshare 100%
SWRP IC costshare 25%
SWRP CG costshare 25%
SWRP CAT costshare 5% 
NO MAX copays for any phase</t>
  </si>
  <si>
    <t xml:space="preserve">IC/CAT
ROLLBACK
</t>
  </si>
  <si>
    <t xml:space="preserve">DD/CAT
ROLLBACK
</t>
  </si>
  <si>
    <t xml:space="preserve">CAT
</t>
  </si>
  <si>
    <t>CG/CAT</t>
  </si>
  <si>
    <t xml:space="preserve">CG/CAT
ROLLBACK
</t>
  </si>
  <si>
    <t xml:space="preserve">CG
</t>
  </si>
  <si>
    <t xml:space="preserve">IC/CG
$820 left to meet IC
</t>
  </si>
  <si>
    <t xml:space="preserve">IC
</t>
  </si>
  <si>
    <t xml:space="preserve">DD/IC
$5 left to meet DD
</t>
  </si>
  <si>
    <r>
      <t>SWRP Processing</t>
    </r>
    <r>
      <rPr>
        <b/>
        <sz val="10"/>
        <color rgb="FFFF0000"/>
        <rFont val="Calibri"/>
        <family val="2"/>
        <scheme val="minor"/>
      </rPr>
      <t xml:space="preserve"> (see Row 1 for costshares for prereq claims)</t>
    </r>
  </si>
  <si>
    <t>DD
prereq
SWRP DD costshare 50%
SWRP IC costshare $0 copay
SWRP CG costshare $0 copay
SWRP CAT costshare $5 copay
NO MAX copays for any phase</t>
  </si>
  <si>
    <t>DD/IC
prereq
SWRP DD costshare 50%
SWRP IC costshare $0 copay
SWRP CG costshare $0 copay
SWRP CAT costshare $5 copay
NO MAX copays for any phase</t>
  </si>
  <si>
    <t>DD/IC/CG
prereq</t>
  </si>
  <si>
    <t>IC/CG
Preload DD
Plan dollars
$480.00
Preload IC
Plan dollars
$3130.00</t>
  </si>
  <si>
    <t>DD mbr (50% with 50.00 or 10.00  Max)</t>
  </si>
  <si>
    <t>DD/CG
prereq
SWRP DD costshare 100%
SWRP IC costshare 25%
SWRP CG costshare 25%
SWRP CAT costshare 5% 
NO MAX copays for any phase</t>
  </si>
  <si>
    <t>2024
Accumulator limits
DD - 545.00
IC - 5030.00
CG - 8000.00
SWRP Costshare Basis:  Remaining Phase Amt ALL Phases
MAX copay in DD, IC &amp; CG
Straddle Rules:
DD/IC - Copay to Copay Rule(Under)
IC/CG - Copay to Copay Rule(Under)
CG/CAT - No CAT costshare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</si>
</sst>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9">
    <xf numFmtId="0" fontId="0" fillId="0" borderId="0" xfId="0"/>
    <xf numFmtId="0" fontId="1" fillId="0" borderId="2" xfId="0" applyFont="1" applyFill="1" applyBorder="1" applyAlignment="1">
      <alignment horizontal="left" indent="1"/>
    </xf>
    <xf numFmtId="0" fontId="4" fillId="3" borderId="5" xfId="0" applyFont="1" applyFill="1" applyBorder="1"/>
    <xf numFmtId="0" fontId="3" fillId="4" borderId="4" xfId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4" fillId="3" borderId="0" xfId="0" applyFont="1" applyFill="1"/>
    <xf numFmtId="2" fontId="4" fillId="0" borderId="1" xfId="1" applyNumberFormat="1" applyFont="1" applyFill="1" applyBorder="1"/>
    <xf numFmtId="0" fontId="4" fillId="3" borderId="0" xfId="0" applyFont="1" applyFill="1" applyAlignment="1">
      <alignment horizontal="center"/>
    </xf>
    <xf numFmtId="2" fontId="4" fillId="4" borderId="1" xfId="1" applyNumberFormat="1" applyFont="1" applyFill="1" applyBorder="1"/>
    <xf numFmtId="2" fontId="4" fillId="0" borderId="1" xfId="1" applyNumberFormat="1" applyFont="1" applyBorder="1"/>
    <xf numFmtId="2" fontId="4" fillId="5" borderId="1" xfId="1" applyNumberFormat="1" applyFont="1" applyFill="1" applyBorder="1"/>
    <xf numFmtId="2" fontId="4" fillId="2" borderId="1" xfId="1" applyNumberFormat="1" applyFont="1" applyFill="1" applyBorder="1"/>
    <xf numFmtId="2" fontId="4" fillId="0" borderId="1" xfId="1" applyNumberFormat="1" applyFont="1" applyBorder="1" applyAlignment="1">
      <alignment horizontal="right"/>
    </xf>
    <xf numFmtId="2" fontId="4" fillId="0" borderId="7" xfId="0" applyNumberFormat="1" applyFont="1" applyBorder="1"/>
    <xf numFmtId="0" fontId="4" fillId="0" borderId="1" xfId="0" applyFont="1" applyBorder="1"/>
    <xf numFmtId="0" fontId="4" fillId="3" borderId="1" xfId="0" applyFont="1" applyFill="1" applyBorder="1"/>
    <xf numFmtId="2" fontId="4" fillId="0" borderId="1" xfId="0" applyNumberFormat="1" applyFont="1" applyBorder="1"/>
    <xf numFmtId="1" fontId="5" fillId="0" borderId="0" xfId="0" applyNumberFormat="1" applyFont="1"/>
    <xf numFmtId="2" fontId="5" fillId="0" borderId="0" xfId="0" applyNumberFormat="1" applyFont="1"/>
    <xf numFmtId="0" fontId="3" fillId="6" borderId="4" xfId="1" applyNumberFormat="1" applyFont="1" applyFill="1" applyBorder="1" applyAlignment="1">
      <alignment horizontal="center" vertical="center" wrapText="1"/>
    </xf>
    <xf numFmtId="0" fontId="3" fillId="7" borderId="4" xfId="1" applyNumberFormat="1" applyFont="1" applyFill="1" applyBorder="1" applyAlignment="1">
      <alignment horizontal="center" vertical="center" wrapText="1"/>
    </xf>
    <xf numFmtId="0" fontId="3" fillId="2" borderId="3" xfId="1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/>
    <xf numFmtId="0" fontId="5" fillId="8" borderId="1" xfId="0" applyFont="1" applyFill="1" applyBorder="1" applyAlignment="1">
      <alignment horizontal="left" indent="1"/>
    </xf>
    <xf numFmtId="1" fontId="7" fillId="8" borderId="1" xfId="0" applyNumberFormat="1" applyFont="1" applyFill="1" applyBorder="1" applyAlignment="1">
      <alignment horizontal="left" indent="2"/>
    </xf>
    <xf numFmtId="1" fontId="7" fillId="8" borderId="1" xfId="0" applyNumberFormat="1" applyFont="1" applyFill="1" applyBorder="1" applyAlignment="1">
      <alignment horizontal="left" wrapText="1" indent="2"/>
    </xf>
    <xf numFmtId="2" fontId="7" fillId="8" borderId="1" xfId="0" applyNumberFormat="1" applyFont="1" applyFill="1" applyBorder="1" applyAlignment="1"/>
    <xf numFmtId="2" fontId="5" fillId="9" borderId="0" xfId="0" applyNumberFormat="1" applyFont="1" applyFill="1"/>
    <xf numFmtId="0" fontId="3" fillId="10" borderId="4" xfId="1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2" fontId="4" fillId="0" borderId="1" xfId="0" applyNumberFormat="1" applyFont="1" applyFill="1" applyBorder="1"/>
    <xf numFmtId="0" fontId="4" fillId="0" borderId="1" xfId="0" applyFont="1" applyFill="1" applyBorder="1"/>
    <xf numFmtId="2" fontId="8" fillId="0" borderId="1" xfId="1" applyNumberFormat="1" applyFont="1" applyFill="1" applyBorder="1"/>
    <xf numFmtId="2" fontId="5" fillId="8" borderId="1" xfId="0" applyNumberFormat="1" applyFont="1" applyFill="1" applyBorder="1"/>
    <xf numFmtId="2" fontId="4" fillId="0" borderId="1" xfId="1" applyNumberFormat="1" applyFont="1" applyFill="1" applyBorder="1" applyAlignment="1">
      <alignment horizontal="right"/>
    </xf>
    <xf numFmtId="2" fontId="4" fillId="0" borderId="7" xfId="0" applyNumberFormat="1" applyFont="1" applyFill="1" applyBorder="1"/>
    <xf numFmtId="0" fontId="4" fillId="0" borderId="2" xfId="0" applyFont="1" applyBorder="1"/>
    <xf numFmtId="0" fontId="4" fillId="0" borderId="2" xfId="0" applyFont="1" applyBorder="1" applyAlignment="1">
      <alignment horizontal="left" indent="1"/>
    </xf>
    <xf numFmtId="0" fontId="4" fillId="0" borderId="2" xfId="0" applyFont="1" applyBorder="1" applyAlignment="1">
      <alignment horizontal="left"/>
    </xf>
    <xf numFmtId="0" fontId="3" fillId="5" borderId="2" xfId="0" applyFont="1" applyFill="1" applyBorder="1"/>
    <xf numFmtId="0" fontId="3" fillId="2" borderId="2" xfId="0" applyFont="1" applyFill="1" applyBorder="1"/>
    <xf numFmtId="0" fontId="4" fillId="0" borderId="2" xfId="0" applyFont="1" applyFill="1" applyBorder="1" applyAlignment="1">
      <alignment horizontal="left" indent="1"/>
    </xf>
    <xf numFmtId="0" fontId="3" fillId="2" borderId="2" xfId="0" applyFont="1" applyFill="1" applyBorder="1" applyAlignment="1">
      <alignment horizontal="left" vertical="top" wrapText="1"/>
    </xf>
    <xf numFmtId="0" fontId="4" fillId="0" borderId="2" xfId="0" applyFont="1" applyBorder="1" applyAlignment="1"/>
    <xf numFmtId="0" fontId="4" fillId="0" borderId="2" xfId="0" applyFont="1" applyFill="1" applyBorder="1" applyAlignment="1"/>
    <xf numFmtId="0" fontId="4" fillId="0" borderId="6" xfId="0" applyFont="1" applyFill="1" applyBorder="1" applyAlignment="1"/>
    <xf numFmtId="0" fontId="4" fillId="9" borderId="1" xfId="0" applyFont="1" applyFill="1" applyBorder="1" applyAlignment="1"/>
    <xf numFmtId="0" fontId="4" fillId="9" borderId="1" xfId="0" applyFont="1" applyFill="1" applyBorder="1" applyAlignment="1">
      <alignment wrapText="1"/>
    </xf>
    <xf numFmtId="0" fontId="9" fillId="2" borderId="3" xfId="1" applyNumberFormat="1" applyFont="1" applyFill="1" applyBorder="1" applyAlignment="1">
      <alignment horizontal="center" vertical="center" wrapText="1"/>
    </xf>
    <xf numFmtId="0" fontId="10" fillId="3" borderId="5" xfId="0" applyFont="1" applyFill="1" applyBorder="1"/>
    <xf numFmtId="0" fontId="9" fillId="7" borderId="4" xfId="1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0" fillId="0" borderId="2" xfId="0" applyFont="1" applyBorder="1"/>
    <xf numFmtId="0" fontId="10" fillId="3" borderId="0" xfId="0" applyFont="1" applyFill="1"/>
    <xf numFmtId="2" fontId="10" fillId="0" borderId="1" xfId="1" applyNumberFormat="1" applyFont="1" applyFill="1" applyBorder="1"/>
    <xf numFmtId="0" fontId="10" fillId="3" borderId="0" xfId="0" applyFont="1" applyFill="1" applyAlignment="1">
      <alignment horizontal="center"/>
    </xf>
    <xf numFmtId="2" fontId="10" fillId="4" borderId="1" xfId="1" applyNumberFormat="1" applyFont="1" applyFill="1" applyBorder="1"/>
    <xf numFmtId="2" fontId="10" fillId="0" borderId="1" xfId="1" applyNumberFormat="1" applyFont="1" applyBorder="1"/>
    <xf numFmtId="0" fontId="10" fillId="0" borderId="2" xfId="0" applyFont="1" applyBorder="1" applyAlignment="1">
      <alignment horizontal="left" indent="1"/>
    </xf>
    <xf numFmtId="0" fontId="10" fillId="0" borderId="2" xfId="0" applyFont="1" applyBorder="1" applyAlignment="1">
      <alignment horizontal="left"/>
    </xf>
    <xf numFmtId="0" fontId="9" fillId="5" borderId="2" xfId="0" applyFont="1" applyFill="1" applyBorder="1"/>
    <xf numFmtId="2" fontId="10" fillId="5" borderId="1" xfId="1" applyNumberFormat="1" applyFont="1" applyFill="1" applyBorder="1"/>
    <xf numFmtId="0" fontId="9" fillId="2" borderId="2" xfId="0" applyFont="1" applyFill="1" applyBorder="1"/>
    <xf numFmtId="2" fontId="10" fillId="2" borderId="1" xfId="1" applyNumberFormat="1" applyFont="1" applyFill="1" applyBorder="1"/>
    <xf numFmtId="0" fontId="10" fillId="0" borderId="2" xfId="0" applyFont="1" applyFill="1" applyBorder="1" applyAlignment="1">
      <alignment horizontal="left" indent="1"/>
    </xf>
    <xf numFmtId="2" fontId="11" fillId="0" borderId="0" xfId="0" applyNumberFormat="1" applyFont="1"/>
    <xf numFmtId="0" fontId="10" fillId="0" borderId="2" xfId="0" applyFont="1" applyBorder="1" applyAlignment="1"/>
    <xf numFmtId="0" fontId="10" fillId="0" borderId="2" xfId="0" applyFont="1" applyFill="1" applyBorder="1" applyAlignment="1"/>
    <xf numFmtId="2" fontId="10" fillId="0" borderId="1" xfId="1" applyNumberFormat="1" applyFont="1" applyBorder="1" applyAlignment="1">
      <alignment horizontal="right"/>
    </xf>
    <xf numFmtId="0" fontId="10" fillId="0" borderId="6" xfId="0" applyFont="1" applyFill="1" applyBorder="1" applyAlignment="1"/>
    <xf numFmtId="2" fontId="10" fillId="0" borderId="7" xfId="0" applyNumberFormat="1" applyFont="1" applyBorder="1"/>
    <xf numFmtId="0" fontId="10" fillId="0" borderId="1" xfId="0" applyFont="1" applyBorder="1"/>
    <xf numFmtId="0" fontId="10" fillId="3" borderId="1" xfId="0" applyFont="1" applyFill="1" applyBorder="1"/>
    <xf numFmtId="2" fontId="10" fillId="0" borderId="1" xfId="0" applyNumberFormat="1" applyFont="1" applyBorder="1"/>
    <xf numFmtId="1" fontId="11" fillId="8" borderId="1" xfId="0" applyNumberFormat="1" applyFont="1" applyFill="1" applyBorder="1"/>
    <xf numFmtId="1" fontId="13" fillId="8" borderId="1" xfId="0" applyNumberFormat="1" applyFont="1" applyFill="1" applyBorder="1" applyAlignment="1">
      <alignment horizontal="left" indent="2"/>
    </xf>
    <xf numFmtId="1" fontId="13" fillId="8" borderId="1" xfId="0" applyNumberFormat="1" applyFont="1" applyFill="1" applyBorder="1" applyAlignment="1">
      <alignment horizontal="left" wrapText="1" indent="2"/>
    </xf>
    <xf numFmtId="0" fontId="10" fillId="9" borderId="1" xfId="0" applyFont="1" applyFill="1" applyBorder="1" applyAlignment="1"/>
    <xf numFmtId="1" fontId="11" fillId="0" borderId="0" xfId="0" applyNumberFormat="1" applyFont="1"/>
    <xf numFmtId="0" fontId="10" fillId="9" borderId="1" xfId="0" applyFont="1" applyFill="1" applyBorder="1" applyAlignment="1">
      <alignment wrapText="1"/>
    </xf>
    <xf numFmtId="2" fontId="11" fillId="9" borderId="0" xfId="0" applyNumberFormat="1" applyFont="1" applyFill="1"/>
    <xf numFmtId="0" fontId="4" fillId="10" borderId="2" xfId="0" applyFont="1" applyFill="1" applyBorder="1" applyAlignment="1">
      <alignment horizontal="left" indent="1"/>
    </xf>
    <xf numFmtId="0" fontId="4" fillId="0" borderId="2" xfId="0" applyFont="1" applyFill="1" applyBorder="1"/>
    <xf numFmtId="0" fontId="4" fillId="0" borderId="1" xfId="0" applyFont="1" applyFill="1" applyBorder="1" applyAlignment="1"/>
    <xf numFmtId="0" fontId="9" fillId="4" borderId="4" xfId="1" applyNumberFormat="1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left" indent="1"/>
    </xf>
    <xf numFmtId="2" fontId="11" fillId="8" borderId="1" xfId="0" applyNumberFormat="1" applyFont="1" applyFill="1" applyBorder="1"/>
    <xf numFmtId="2" fontId="4" fillId="11" borderId="1" xfId="1" applyNumberFormat="1" applyFont="1" applyFill="1" applyBorder="1"/>
    <xf numFmtId="0" fontId="9" fillId="11" borderId="4" xfId="1" applyNumberFormat="1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59"/>
  <sheetViews>
    <sheetView tabSelected="1" zoomScale="80" zoomScaleNormal="80"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C7" sqref="C7"/>
    </sheetView>
  </sheetViews>
  <sheetFormatPr defaultColWidth="9.1796875" defaultRowHeight="13" x14ac:dyDescent="0.3"/>
  <cols>
    <col min="1" max="1" width="63.81640625" style="4" customWidth="1"/>
    <col min="2" max="2" width="3.26953125" style="4" customWidth="1"/>
    <col min="3" max="3" width="19.7265625" style="18" customWidth="1"/>
    <col min="4" max="4" width="3.26953125" style="4" customWidth="1"/>
    <col min="5" max="6" width="21.81640625" style="18" customWidth="1"/>
    <col min="7" max="7" width="3.26953125" style="4" customWidth="1"/>
    <col min="8" max="9" width="21.81640625" style="18" customWidth="1"/>
    <col min="10" max="10" width="3.26953125" style="4" customWidth="1"/>
    <col min="11" max="12" width="21.81640625" style="18" customWidth="1"/>
    <col min="13" max="13" width="3.26953125" style="4" customWidth="1"/>
    <col min="14" max="15" width="21.81640625" style="18" customWidth="1"/>
    <col min="16" max="16" width="3.26953125" style="4" customWidth="1"/>
    <col min="17" max="18" width="21.81640625" style="18" customWidth="1"/>
    <col min="19" max="19" width="3.26953125" style="4" customWidth="1"/>
    <col min="20" max="21" width="21.81640625" style="18" customWidth="1"/>
    <col min="22" max="22" width="3.26953125" style="4" customWidth="1"/>
    <col min="23" max="24" width="21.81640625" style="18" customWidth="1"/>
    <col min="25" max="25" width="3.26953125" style="4" customWidth="1"/>
    <col min="26" max="26" width="21.81640625" style="18" customWidth="1"/>
    <col min="27" max="27" width="3.26953125" style="4" customWidth="1"/>
    <col min="28" max="29" width="21.81640625" style="18" customWidth="1"/>
    <col min="30" max="30" width="3.26953125" style="4" customWidth="1"/>
    <col min="31" max="31" width="21.81640625" style="18" customWidth="1"/>
    <col min="32" max="32" width="3.26953125" style="4" customWidth="1"/>
    <col min="33" max="16384" width="9.1796875" style="4"/>
  </cols>
  <sheetData>
    <row r="1" spans="1:32" ht="159.75" customHeight="1" x14ac:dyDescent="0.3">
      <c r="A1" s="21" t="s">
        <v>136</v>
      </c>
      <c r="B1" s="2"/>
      <c r="C1" s="19" t="s">
        <v>32</v>
      </c>
      <c r="D1" s="2"/>
      <c r="E1" s="20" t="s">
        <v>119</v>
      </c>
      <c r="F1" s="19" t="s">
        <v>128</v>
      </c>
      <c r="G1" s="2"/>
      <c r="H1" s="20" t="s">
        <v>119</v>
      </c>
      <c r="I1" s="19" t="s">
        <v>127</v>
      </c>
      <c r="J1" s="2"/>
      <c r="K1" s="20" t="s">
        <v>119</v>
      </c>
      <c r="L1" s="19" t="s">
        <v>126</v>
      </c>
      <c r="M1" s="2"/>
      <c r="N1" s="20" t="s">
        <v>119</v>
      </c>
      <c r="O1" s="19" t="s">
        <v>125</v>
      </c>
      <c r="P1" s="2"/>
      <c r="Q1" s="20" t="s">
        <v>119</v>
      </c>
      <c r="R1" s="19" t="s">
        <v>124</v>
      </c>
      <c r="S1" s="2"/>
      <c r="T1" s="20" t="s">
        <v>135</v>
      </c>
      <c r="U1" s="19" t="s">
        <v>123</v>
      </c>
      <c r="V1" s="2"/>
      <c r="W1" s="20" t="s">
        <v>119</v>
      </c>
      <c r="X1" s="19" t="s">
        <v>122</v>
      </c>
      <c r="Y1" s="2"/>
      <c r="Z1" s="19" t="s">
        <v>121</v>
      </c>
      <c r="AA1" s="2"/>
      <c r="AB1" s="20" t="s">
        <v>119</v>
      </c>
      <c r="AC1" s="19" t="s">
        <v>120</v>
      </c>
      <c r="AD1" s="2"/>
      <c r="AE1" s="19" t="s">
        <v>78</v>
      </c>
      <c r="AF1" s="2"/>
    </row>
    <row r="2" spans="1:32" x14ac:dyDescent="0.3">
      <c r="A2" s="36" t="s">
        <v>66</v>
      </c>
      <c r="B2" s="5"/>
      <c r="C2" s="6">
        <v>50</v>
      </c>
      <c r="D2" s="7"/>
      <c r="E2" s="87" t="s">
        <v>31</v>
      </c>
      <c r="F2" s="6">
        <v>10</v>
      </c>
      <c r="G2" s="5"/>
      <c r="H2" s="87" t="s">
        <v>31</v>
      </c>
      <c r="I2" s="6">
        <v>10</v>
      </c>
      <c r="J2" s="5"/>
      <c r="K2" s="87" t="s">
        <v>31</v>
      </c>
      <c r="L2" s="6">
        <v>10</v>
      </c>
      <c r="M2" s="5"/>
      <c r="N2" s="87" t="s">
        <v>31</v>
      </c>
      <c r="O2" s="6">
        <v>10</v>
      </c>
      <c r="P2" s="5"/>
      <c r="Q2" s="87" t="s">
        <v>31</v>
      </c>
      <c r="R2" s="6">
        <v>10</v>
      </c>
      <c r="S2" s="5"/>
      <c r="T2" s="87" t="s">
        <v>31</v>
      </c>
      <c r="U2" s="6">
        <v>10</v>
      </c>
      <c r="V2" s="5"/>
      <c r="W2" s="87" t="s">
        <v>31</v>
      </c>
      <c r="X2" s="6">
        <v>10</v>
      </c>
      <c r="Y2" s="5"/>
      <c r="Z2" s="6">
        <v>10</v>
      </c>
      <c r="AA2" s="5"/>
      <c r="AB2" s="87" t="s">
        <v>31</v>
      </c>
      <c r="AC2" s="6">
        <v>10</v>
      </c>
      <c r="AD2" s="5"/>
      <c r="AE2" s="6">
        <v>10</v>
      </c>
      <c r="AF2" s="5"/>
    </row>
    <row r="3" spans="1:32" x14ac:dyDescent="0.3">
      <c r="A3" s="36" t="s">
        <v>67</v>
      </c>
      <c r="B3" s="5"/>
      <c r="C3" s="6">
        <v>20</v>
      </c>
      <c r="D3" s="7"/>
      <c r="E3" s="87" t="s">
        <v>31</v>
      </c>
      <c r="F3" s="6">
        <v>20</v>
      </c>
      <c r="G3" s="5"/>
      <c r="H3" s="87" t="s">
        <v>31</v>
      </c>
      <c r="I3" s="6">
        <v>20</v>
      </c>
      <c r="J3" s="5"/>
      <c r="K3" s="87" t="s">
        <v>31</v>
      </c>
      <c r="L3" s="6">
        <v>20</v>
      </c>
      <c r="M3" s="5"/>
      <c r="N3" s="87" t="s">
        <v>31</v>
      </c>
      <c r="O3" s="6">
        <v>20</v>
      </c>
      <c r="P3" s="5"/>
      <c r="Q3" s="87" t="s">
        <v>31</v>
      </c>
      <c r="R3" s="6">
        <v>20</v>
      </c>
      <c r="S3" s="5"/>
      <c r="T3" s="87" t="s">
        <v>31</v>
      </c>
      <c r="U3" s="6">
        <v>20</v>
      </c>
      <c r="V3" s="5"/>
      <c r="W3" s="87" t="s">
        <v>31</v>
      </c>
      <c r="X3" s="6">
        <v>20</v>
      </c>
      <c r="Y3" s="5"/>
      <c r="Z3" s="6">
        <v>20</v>
      </c>
      <c r="AA3" s="5"/>
      <c r="AB3" s="87" t="s">
        <v>31</v>
      </c>
      <c r="AC3" s="6">
        <v>20</v>
      </c>
      <c r="AD3" s="5"/>
      <c r="AE3" s="6">
        <v>20</v>
      </c>
      <c r="AF3" s="5"/>
    </row>
    <row r="4" spans="1:32" x14ac:dyDescent="0.3">
      <c r="A4" s="36" t="s">
        <v>68</v>
      </c>
      <c r="B4" s="5"/>
      <c r="C4" s="6">
        <v>30</v>
      </c>
      <c r="D4" s="7"/>
      <c r="E4" s="87" t="s">
        <v>31</v>
      </c>
      <c r="F4" s="6">
        <v>30</v>
      </c>
      <c r="G4" s="5"/>
      <c r="H4" s="87" t="s">
        <v>31</v>
      </c>
      <c r="I4" s="6">
        <v>30</v>
      </c>
      <c r="J4" s="5"/>
      <c r="K4" s="87" t="s">
        <v>31</v>
      </c>
      <c r="L4" s="6">
        <v>30</v>
      </c>
      <c r="M4" s="5"/>
      <c r="N4" s="87" t="s">
        <v>31</v>
      </c>
      <c r="O4" s="6">
        <v>30</v>
      </c>
      <c r="P4" s="5"/>
      <c r="Q4" s="87" t="s">
        <v>31</v>
      </c>
      <c r="R4" s="6">
        <v>30</v>
      </c>
      <c r="S4" s="5"/>
      <c r="T4" s="87" t="s">
        <v>31</v>
      </c>
      <c r="U4" s="6">
        <v>30</v>
      </c>
      <c r="V4" s="5"/>
      <c r="W4" s="87" t="s">
        <v>31</v>
      </c>
      <c r="X4" s="6">
        <v>30</v>
      </c>
      <c r="Y4" s="5"/>
      <c r="Z4" s="6">
        <v>30</v>
      </c>
      <c r="AA4" s="5"/>
      <c r="AB4" s="87" t="s">
        <v>31</v>
      </c>
      <c r="AC4" s="6">
        <v>30</v>
      </c>
      <c r="AD4" s="5"/>
      <c r="AE4" s="6">
        <v>30</v>
      </c>
      <c r="AF4" s="5"/>
    </row>
    <row r="5" spans="1:32" x14ac:dyDescent="0.3">
      <c r="A5" s="36" t="s">
        <v>27</v>
      </c>
      <c r="B5" s="5"/>
      <c r="C5" s="8"/>
      <c r="D5" s="7"/>
      <c r="E5" s="8"/>
      <c r="F5" s="8"/>
      <c r="G5" s="5"/>
      <c r="H5" s="8"/>
      <c r="I5" s="8"/>
      <c r="J5" s="5"/>
      <c r="K5" s="8"/>
      <c r="L5" s="8"/>
      <c r="M5" s="5"/>
      <c r="N5" s="8"/>
      <c r="O5" s="8"/>
      <c r="P5" s="5"/>
      <c r="Q5" s="8"/>
      <c r="R5" s="8"/>
      <c r="S5" s="5"/>
      <c r="T5" s="8"/>
      <c r="U5" s="8"/>
      <c r="V5" s="5"/>
      <c r="W5" s="8"/>
      <c r="X5" s="8"/>
      <c r="Y5" s="5"/>
      <c r="Z5" s="8"/>
      <c r="AA5" s="5"/>
      <c r="AB5" s="8"/>
      <c r="AC5" s="8"/>
      <c r="AD5" s="5"/>
      <c r="AE5" s="8"/>
      <c r="AF5" s="5"/>
    </row>
    <row r="6" spans="1:32" x14ac:dyDescent="0.3">
      <c r="A6" s="36" t="s">
        <v>1</v>
      </c>
      <c r="B6" s="5"/>
      <c r="C6" s="6">
        <f>SUM(C7:C7)</f>
        <v>545</v>
      </c>
      <c r="D6" s="7"/>
      <c r="E6" s="6">
        <f>SUM(E7:E7)</f>
        <v>475</v>
      </c>
      <c r="F6" s="6">
        <f>SUM(F7:F7)</f>
        <v>1000</v>
      </c>
      <c r="G6" s="5"/>
      <c r="H6" s="6">
        <f>SUM(H7:H7)</f>
        <v>480</v>
      </c>
      <c r="I6" s="6">
        <f>SUM(I7:I7)</f>
        <v>1000</v>
      </c>
      <c r="J6" s="5"/>
      <c r="K6" s="6">
        <f>SUM(K7:K7)</f>
        <v>3610</v>
      </c>
      <c r="L6" s="6">
        <f>SUM(L7:L7)</f>
        <v>1000</v>
      </c>
      <c r="M6" s="5"/>
      <c r="N6" s="6">
        <f>SUM(N7:N7)</f>
        <v>5000</v>
      </c>
      <c r="O6" s="9">
        <f>SUM(O7:O7)</f>
        <v>1000</v>
      </c>
      <c r="P6" s="5"/>
      <c r="Q6" s="6">
        <f>SUM(Q7:Q7)</f>
        <v>5134.74</v>
      </c>
      <c r="R6" s="9">
        <f>SUM(R7:R7)</f>
        <v>6000</v>
      </c>
      <c r="S6" s="5"/>
      <c r="T6" s="6">
        <f>SUM(T7:T7)</f>
        <v>10201.049999999999</v>
      </c>
      <c r="U6" s="9">
        <f>SUM(U7:U7)</f>
        <v>1000</v>
      </c>
      <c r="V6" s="5"/>
      <c r="W6" s="6">
        <f>SUM(W7:W7)</f>
        <v>12000</v>
      </c>
      <c r="X6" s="9">
        <f>SUM(X7:X7)</f>
        <v>1000</v>
      </c>
      <c r="Y6" s="5"/>
      <c r="Z6" s="9">
        <f>SUM(Z7:Z7)</f>
        <v>12000</v>
      </c>
      <c r="AA6" s="5"/>
      <c r="AB6" s="6">
        <f>SUM(AB7:AB7)</f>
        <v>600</v>
      </c>
      <c r="AC6" s="9">
        <f>SUM(AC7:AC7)</f>
        <v>10233.209999999999</v>
      </c>
      <c r="AD6" s="5"/>
      <c r="AE6" s="9">
        <f>SUM(AE7:AE7)</f>
        <v>6000</v>
      </c>
      <c r="AF6" s="5"/>
    </row>
    <row r="7" spans="1:32" x14ac:dyDescent="0.3">
      <c r="A7" s="37" t="s">
        <v>0</v>
      </c>
      <c r="B7" s="5"/>
      <c r="C7" s="6">
        <v>545</v>
      </c>
      <c r="D7" s="7"/>
      <c r="E7" s="6">
        <v>475</v>
      </c>
      <c r="F7" s="6">
        <v>1000</v>
      </c>
      <c r="G7" s="5"/>
      <c r="H7" s="6">
        <v>480</v>
      </c>
      <c r="I7" s="6">
        <v>1000</v>
      </c>
      <c r="J7" s="5"/>
      <c r="K7" s="6">
        <v>3610</v>
      </c>
      <c r="L7" s="6">
        <v>1000</v>
      </c>
      <c r="M7" s="5"/>
      <c r="N7" s="6">
        <v>5000</v>
      </c>
      <c r="O7" s="9">
        <v>1000</v>
      </c>
      <c r="P7" s="5"/>
      <c r="Q7" s="6">
        <v>5134.74</v>
      </c>
      <c r="R7" s="9">
        <v>6000</v>
      </c>
      <c r="S7" s="5"/>
      <c r="T7" s="6">
        <v>10201.049999999999</v>
      </c>
      <c r="U7" s="9">
        <v>1000</v>
      </c>
      <c r="V7" s="5"/>
      <c r="W7" s="6">
        <v>12000</v>
      </c>
      <c r="X7" s="9">
        <v>1000</v>
      </c>
      <c r="Y7" s="5"/>
      <c r="Z7" s="9">
        <v>12000</v>
      </c>
      <c r="AA7" s="5"/>
      <c r="AB7" s="6">
        <v>600</v>
      </c>
      <c r="AC7" s="9">
        <v>10233.209999999999</v>
      </c>
      <c r="AD7" s="5"/>
      <c r="AE7" s="9">
        <v>6000</v>
      </c>
      <c r="AF7" s="5"/>
    </row>
    <row r="8" spans="1:32" x14ac:dyDescent="0.3">
      <c r="A8" s="38" t="s">
        <v>19</v>
      </c>
      <c r="B8" s="5"/>
      <c r="C8" s="6">
        <v>0</v>
      </c>
      <c r="D8" s="7"/>
      <c r="E8" s="6">
        <v>0</v>
      </c>
      <c r="F8" s="6">
        <f>E6</f>
        <v>475</v>
      </c>
      <c r="G8" s="5"/>
      <c r="H8" s="6">
        <v>0</v>
      </c>
      <c r="I8" s="6">
        <f>H6</f>
        <v>480</v>
      </c>
      <c r="J8" s="5"/>
      <c r="K8" s="6">
        <v>0</v>
      </c>
      <c r="L8" s="6">
        <f>K6</f>
        <v>3610</v>
      </c>
      <c r="M8" s="5"/>
      <c r="N8" s="6">
        <v>0</v>
      </c>
      <c r="O8" s="6">
        <f>N6</f>
        <v>5000</v>
      </c>
      <c r="P8" s="5"/>
      <c r="Q8" s="6">
        <v>0</v>
      </c>
      <c r="R8" s="6">
        <f>Q6</f>
        <v>5134.74</v>
      </c>
      <c r="S8" s="5"/>
      <c r="T8" s="6">
        <v>0</v>
      </c>
      <c r="U8" s="6">
        <f>T6</f>
        <v>10201.049999999999</v>
      </c>
      <c r="V8" s="5"/>
      <c r="W8" s="6">
        <v>0</v>
      </c>
      <c r="X8" s="6">
        <f>W6</f>
        <v>12000</v>
      </c>
      <c r="Y8" s="5"/>
      <c r="Z8" s="6">
        <v>0</v>
      </c>
      <c r="AA8" s="5"/>
      <c r="AB8" s="6">
        <v>0</v>
      </c>
      <c r="AC8" s="6">
        <f>AB6</f>
        <v>600</v>
      </c>
      <c r="AD8" s="5"/>
      <c r="AE8" s="6">
        <v>0</v>
      </c>
      <c r="AF8" s="5"/>
    </row>
    <row r="9" spans="1:32" x14ac:dyDescent="0.3">
      <c r="A9" s="38" t="s">
        <v>18</v>
      </c>
      <c r="B9" s="5"/>
      <c r="C9" s="6">
        <v>0</v>
      </c>
      <c r="D9" s="7"/>
      <c r="E9" s="6">
        <v>0</v>
      </c>
      <c r="F9" s="6">
        <f>E46</f>
        <v>475</v>
      </c>
      <c r="G9" s="5"/>
      <c r="H9" s="6">
        <v>0</v>
      </c>
      <c r="I9" s="6">
        <f>H46</f>
        <v>480</v>
      </c>
      <c r="J9" s="5"/>
      <c r="K9" s="6">
        <v>0</v>
      </c>
      <c r="L9" s="6">
        <f>K46</f>
        <v>1262.5</v>
      </c>
      <c r="M9" s="5"/>
      <c r="N9" s="6">
        <v>0</v>
      </c>
      <c r="O9" s="6">
        <f>N46</f>
        <v>2009</v>
      </c>
      <c r="P9" s="5"/>
      <c r="Q9" s="6">
        <v>0</v>
      </c>
      <c r="R9" s="6">
        <f>Q46</f>
        <v>2137</v>
      </c>
      <c r="S9" s="5"/>
      <c r="T9" s="6">
        <v>0</v>
      </c>
      <c r="U9" s="6">
        <f>T46</f>
        <v>6950</v>
      </c>
      <c r="V9" s="5"/>
      <c r="W9" s="6">
        <v>0</v>
      </c>
      <c r="X9" s="6">
        <f>W46</f>
        <v>7050</v>
      </c>
      <c r="Y9" s="5"/>
      <c r="Z9" s="6">
        <v>0</v>
      </c>
      <c r="AA9" s="5"/>
      <c r="AB9" s="6">
        <v>0</v>
      </c>
      <c r="AC9" s="6">
        <f>AB46</f>
        <v>510</v>
      </c>
      <c r="AD9" s="5"/>
      <c r="AE9" s="6">
        <v>0</v>
      </c>
      <c r="AF9" s="5"/>
    </row>
    <row r="10" spans="1:32" x14ac:dyDescent="0.3">
      <c r="A10" s="39" t="s">
        <v>6</v>
      </c>
      <c r="B10" s="5"/>
      <c r="C10" s="10"/>
      <c r="D10" s="5"/>
      <c r="E10" s="10"/>
      <c r="F10" s="10"/>
      <c r="G10" s="5"/>
      <c r="H10" s="10"/>
      <c r="I10" s="10"/>
      <c r="J10" s="5"/>
      <c r="K10" s="10"/>
      <c r="L10" s="10"/>
      <c r="M10" s="5"/>
      <c r="N10" s="10"/>
      <c r="O10" s="10"/>
      <c r="P10" s="5"/>
      <c r="Q10" s="10"/>
      <c r="R10" s="10"/>
      <c r="S10" s="5"/>
      <c r="T10" s="10"/>
      <c r="U10" s="10"/>
      <c r="V10" s="5"/>
      <c r="W10" s="10"/>
      <c r="X10" s="10"/>
      <c r="Y10" s="5"/>
      <c r="Z10" s="10"/>
      <c r="AA10" s="5"/>
      <c r="AB10" s="10"/>
      <c r="AC10" s="10"/>
      <c r="AD10" s="5"/>
      <c r="AE10" s="10"/>
      <c r="AF10" s="5"/>
    </row>
    <row r="11" spans="1:32" x14ac:dyDescent="0.3">
      <c r="A11" s="40" t="s">
        <v>20</v>
      </c>
      <c r="B11" s="5"/>
      <c r="C11" s="11">
        <f>IF(C8&gt;545,0,MIN(545-C8,C6))</f>
        <v>545</v>
      </c>
      <c r="D11" s="5"/>
      <c r="E11" s="11">
        <f>IF(E8&gt;480,0,MIN(480-E8,E6))</f>
        <v>475</v>
      </c>
      <c r="F11" s="11">
        <f>IF(F8&gt;480,0,MIN(480-F8,F6))</f>
        <v>5</v>
      </c>
      <c r="G11" s="5"/>
      <c r="H11" s="11">
        <f>IF(H8&gt;480,0,MIN(480-H8,H6))</f>
        <v>480</v>
      </c>
      <c r="I11" s="11">
        <f>IF(I8&gt;480,0,MIN(480-I8,I6))</f>
        <v>0</v>
      </c>
      <c r="J11" s="5"/>
      <c r="K11" s="11">
        <f>IF(K8&gt;480,0,MIN(480-K8,K6))</f>
        <v>480</v>
      </c>
      <c r="L11" s="11">
        <f>IF(L8&gt;480,0,MIN(480-L8,L6))</f>
        <v>0</v>
      </c>
      <c r="M11" s="5"/>
      <c r="N11" s="11">
        <f>IF(N8&gt;480,0,MIN(480-N8,N6))</f>
        <v>480</v>
      </c>
      <c r="O11" s="11">
        <f>IF(O8&gt;480,0,MIN(480-O8,O6))</f>
        <v>0</v>
      </c>
      <c r="P11" s="5"/>
      <c r="Q11" s="11">
        <f>IF(Q8&gt;480,0,MIN(480-Q8,Q6))</f>
        <v>480</v>
      </c>
      <c r="R11" s="11">
        <f>IF(R8&gt;480,0,MIN(480-R8,R6))</f>
        <v>0</v>
      </c>
      <c r="S11" s="5"/>
      <c r="T11" s="11">
        <f>IF(T8&gt;480,0,MIN(480-T8,T6))</f>
        <v>480</v>
      </c>
      <c r="U11" s="11">
        <f>IF(U8&gt;480,0,MIN(480-U8,U6))</f>
        <v>0</v>
      </c>
      <c r="V11" s="5"/>
      <c r="W11" s="11">
        <f>IF(W8&gt;480,0,MIN(480-W8,W6))</f>
        <v>480</v>
      </c>
      <c r="X11" s="11">
        <f>IF(X8&gt;480,0,MIN(480-X8,X6))</f>
        <v>0</v>
      </c>
      <c r="Y11" s="5"/>
      <c r="Z11" s="11">
        <f>IF(Z8&gt;480,0,MIN(480-Z8,Z6))</f>
        <v>480</v>
      </c>
      <c r="AA11" s="5"/>
      <c r="AB11" s="11">
        <f>IF(AB8&gt;480,0,MIN(480-AB8,AB6))</f>
        <v>480</v>
      </c>
      <c r="AC11" s="11">
        <f>IF(AC8&gt;480,0,MIN(480-AC8,AC6))</f>
        <v>0</v>
      </c>
      <c r="AD11" s="5"/>
      <c r="AE11" s="11">
        <f>IF(AE8&gt;480,0,MIN(480-AE8,AE6))</f>
        <v>480</v>
      </c>
      <c r="AF11" s="5"/>
    </row>
    <row r="12" spans="1:32" x14ac:dyDescent="0.3">
      <c r="A12" s="41" t="s">
        <v>14</v>
      </c>
      <c r="B12" s="5"/>
      <c r="C12" s="6">
        <f>C11*100%</f>
        <v>545</v>
      </c>
      <c r="D12" s="5"/>
      <c r="E12" s="6">
        <f>E11*100%</f>
        <v>475</v>
      </c>
      <c r="F12" s="6">
        <f>F11*100%</f>
        <v>5</v>
      </c>
      <c r="G12" s="5"/>
      <c r="H12" s="6">
        <f>H11*100%</f>
        <v>480</v>
      </c>
      <c r="I12" s="6">
        <f>I11*100%</f>
        <v>0</v>
      </c>
      <c r="J12" s="5"/>
      <c r="K12" s="6">
        <f>K11*100%</f>
        <v>480</v>
      </c>
      <c r="L12" s="6">
        <f>L11*100%</f>
        <v>0</v>
      </c>
      <c r="M12" s="5"/>
      <c r="N12" s="6">
        <f>N11*100%</f>
        <v>480</v>
      </c>
      <c r="O12" s="6">
        <f>O11*100%</f>
        <v>0</v>
      </c>
      <c r="P12" s="5"/>
      <c r="Q12" s="6">
        <f>Q11*100%</f>
        <v>480</v>
      </c>
      <c r="R12" s="6">
        <f>R11*100%</f>
        <v>0</v>
      </c>
      <c r="S12" s="5"/>
      <c r="T12" s="6">
        <f>T11*100%</f>
        <v>480</v>
      </c>
      <c r="U12" s="6">
        <f>U11*100%</f>
        <v>0</v>
      </c>
      <c r="V12" s="5"/>
      <c r="W12" s="6">
        <f>W11*100%</f>
        <v>480</v>
      </c>
      <c r="X12" s="6">
        <f>X11*100%</f>
        <v>0</v>
      </c>
      <c r="Y12" s="5"/>
      <c r="Z12" s="6">
        <f>Z11*100%</f>
        <v>480</v>
      </c>
      <c r="AA12" s="5"/>
      <c r="AB12" s="6">
        <f>AB11*100%</f>
        <v>480</v>
      </c>
      <c r="AC12" s="6">
        <f>AC11*100%</f>
        <v>0</v>
      </c>
      <c r="AD12" s="5"/>
      <c r="AE12" s="6">
        <f>AE11*100%</f>
        <v>480</v>
      </c>
      <c r="AF12" s="5"/>
    </row>
    <row r="13" spans="1:32" x14ac:dyDescent="0.3">
      <c r="A13" s="41" t="s">
        <v>15</v>
      </c>
      <c r="B13" s="5"/>
      <c r="C13" s="6">
        <f>C11-C12</f>
        <v>0</v>
      </c>
      <c r="D13" s="5"/>
      <c r="E13" s="6">
        <f>E11-E12</f>
        <v>0</v>
      </c>
      <c r="F13" s="6">
        <f>F11-F12</f>
        <v>0</v>
      </c>
      <c r="G13" s="5"/>
      <c r="H13" s="6">
        <f>H11-H12</f>
        <v>0</v>
      </c>
      <c r="I13" s="6">
        <f>I11-I12</f>
        <v>0</v>
      </c>
      <c r="J13" s="5"/>
      <c r="K13" s="6">
        <f>K11-K12</f>
        <v>0</v>
      </c>
      <c r="L13" s="6">
        <f>L11-L12</f>
        <v>0</v>
      </c>
      <c r="M13" s="5"/>
      <c r="N13" s="6">
        <f>N11-N12</f>
        <v>0</v>
      </c>
      <c r="O13" s="6">
        <f>O11-O12</f>
        <v>0</v>
      </c>
      <c r="P13" s="5"/>
      <c r="Q13" s="6">
        <f>Q11-Q12</f>
        <v>0</v>
      </c>
      <c r="R13" s="6">
        <f>R11-R12</f>
        <v>0</v>
      </c>
      <c r="S13" s="5"/>
      <c r="T13" s="6">
        <f>T11-T12</f>
        <v>0</v>
      </c>
      <c r="U13" s="6">
        <f>U11-U12</f>
        <v>0</v>
      </c>
      <c r="V13" s="5"/>
      <c r="W13" s="6">
        <f>W11-W12</f>
        <v>0</v>
      </c>
      <c r="X13" s="6">
        <f>X11-X12</f>
        <v>0</v>
      </c>
      <c r="Y13" s="5"/>
      <c r="Z13" s="6">
        <f>Z11-Z12</f>
        <v>0</v>
      </c>
      <c r="AA13" s="5"/>
      <c r="AB13" s="6">
        <f>AB11-AB12</f>
        <v>0</v>
      </c>
      <c r="AC13" s="6">
        <f>AC11-AC12</f>
        <v>0</v>
      </c>
      <c r="AD13" s="5"/>
      <c r="AE13" s="6">
        <f>AE11-AE12</f>
        <v>0</v>
      </c>
      <c r="AF13" s="5"/>
    </row>
    <row r="14" spans="1:32" x14ac:dyDescent="0.3">
      <c r="A14" s="40" t="s">
        <v>21</v>
      </c>
      <c r="B14" s="5"/>
      <c r="C14" s="11">
        <f>IF(C8&gt;4430,0,MIN(4430-C8-C11,C6-C11))</f>
        <v>0</v>
      </c>
      <c r="D14" s="5"/>
      <c r="E14" s="11">
        <f>IF(E8&gt;4430,0,MIN(4430-E8-E11,E6-E11))</f>
        <v>0</v>
      </c>
      <c r="F14" s="11">
        <f>IF(F8&gt;4430,0,MIN(4430-F8-F11,F6-F11))</f>
        <v>995</v>
      </c>
      <c r="G14" s="5"/>
      <c r="H14" s="11">
        <f>IF(H8&gt;4430,0,MIN(4430-H8-H11,H6-H11))</f>
        <v>0</v>
      </c>
      <c r="I14" s="11">
        <f>IF(I8&gt;4430,0,MIN(4430-I8-I11,I6-I11))</f>
        <v>1000</v>
      </c>
      <c r="J14" s="5"/>
      <c r="K14" s="11">
        <f>IF(K8&gt;4430,0,MIN(4430-K8-K11,K6-K11))</f>
        <v>3130</v>
      </c>
      <c r="L14" s="11">
        <f>IF(L8&gt;4430,0,MIN(4430-L8-L11,L6-L11))</f>
        <v>820</v>
      </c>
      <c r="M14" s="5"/>
      <c r="N14" s="11">
        <f>IF(N8&gt;4430,0,MIN(4430-N8-N11,N6-N11))</f>
        <v>3950</v>
      </c>
      <c r="O14" s="11">
        <f>IF(O8&gt;4430,0,MIN(4430-O8-O11,O6-O11))</f>
        <v>0</v>
      </c>
      <c r="P14" s="5"/>
      <c r="Q14" s="11">
        <f>IF(Q8&gt;4430,0,MIN(4430-Q8-Q11,Q6-Q11))</f>
        <v>3950</v>
      </c>
      <c r="R14" s="11">
        <f>IF(R8&gt;4430,0,MIN(4430-R8-R11,R6-R11))</f>
        <v>0</v>
      </c>
      <c r="S14" s="5"/>
      <c r="T14" s="11">
        <f>IF(T8&gt;4430,0,MIN(4430-T8-T11,T6-T11))</f>
        <v>3950</v>
      </c>
      <c r="U14" s="11">
        <f>IF(U8&gt;4430,0,MIN(4430-U8-U11,U6-U11))</f>
        <v>0</v>
      </c>
      <c r="V14" s="5"/>
      <c r="W14" s="11">
        <f>IF(W8&gt;4430,0,MIN(4430-W8-W11,W6-W11))</f>
        <v>3950</v>
      </c>
      <c r="X14" s="11">
        <f>IF(X8&gt;4430,0,MIN(4430-X8-X11,X6-X11))</f>
        <v>0</v>
      </c>
      <c r="Y14" s="5"/>
      <c r="Z14" s="11">
        <f>IF(Z8&gt;4430,0,MIN(4430-Z8-Z11,Z6-Z11))</f>
        <v>3950</v>
      </c>
      <c r="AA14" s="5"/>
      <c r="AB14" s="11">
        <f>IF(AB8&gt;4430,0,MIN(4430-AB8-AB11,AB6-AB11))</f>
        <v>120</v>
      </c>
      <c r="AC14" s="11">
        <f>IF(AC8&gt;4430,0,MIN(4430-AC8-AC11,AC6-AC11))</f>
        <v>3830</v>
      </c>
      <c r="AD14" s="5"/>
      <c r="AE14" s="11">
        <f>IF(AE8&gt;4430,0,MIN(4430-AE8-AE11,AE6-AE11))</f>
        <v>3950</v>
      </c>
      <c r="AF14" s="5"/>
    </row>
    <row r="15" spans="1:32" x14ac:dyDescent="0.3">
      <c r="A15" s="41" t="s">
        <v>8</v>
      </c>
      <c r="B15" s="5"/>
      <c r="C15" s="6">
        <f>SUM(C14)*25%</f>
        <v>0</v>
      </c>
      <c r="D15" s="5"/>
      <c r="E15" s="6">
        <f>SUM(E14)*25%</f>
        <v>0</v>
      </c>
      <c r="F15" s="6">
        <f>SUM(F14)*25%</f>
        <v>248.75</v>
      </c>
      <c r="G15" s="5"/>
      <c r="H15" s="6">
        <f>SUM(H14)*25%</f>
        <v>0</v>
      </c>
      <c r="I15" s="6">
        <f>SUM(I14)*25%</f>
        <v>250</v>
      </c>
      <c r="J15" s="5"/>
      <c r="K15" s="6">
        <f>SUM(K14)*25%</f>
        <v>782.5</v>
      </c>
      <c r="L15" s="6">
        <f>SUM(L14)*25%</f>
        <v>205</v>
      </c>
      <c r="M15" s="5"/>
      <c r="N15" s="6">
        <f>SUM(N14)*25%</f>
        <v>987.5</v>
      </c>
      <c r="O15" s="6">
        <f>SUM(O14)*25%</f>
        <v>0</v>
      </c>
      <c r="P15" s="5"/>
      <c r="Q15" s="6">
        <f>SUM(Q14)*25%</f>
        <v>987.5</v>
      </c>
      <c r="R15" s="6">
        <f>SUM(R14)*25%</f>
        <v>0</v>
      </c>
      <c r="S15" s="5"/>
      <c r="T15" s="6">
        <f>SUM(T14)*25%</f>
        <v>987.5</v>
      </c>
      <c r="U15" s="6">
        <f>SUM(U14)*25%</f>
        <v>0</v>
      </c>
      <c r="V15" s="5"/>
      <c r="W15" s="6">
        <f>SUM(W14)*25%</f>
        <v>987.5</v>
      </c>
      <c r="X15" s="6">
        <f>SUM(X14)*25%</f>
        <v>0</v>
      </c>
      <c r="Y15" s="5"/>
      <c r="Z15" s="6">
        <f>SUM(Z14)*25%</f>
        <v>987.5</v>
      </c>
      <c r="AA15" s="5"/>
      <c r="AB15" s="6">
        <f>SUM(AB14)*25%</f>
        <v>30</v>
      </c>
      <c r="AC15" s="6">
        <f>SUM(AC14)*25%</f>
        <v>957.5</v>
      </c>
      <c r="AD15" s="5"/>
      <c r="AE15" s="6">
        <f>SUM(AE14)*25%</f>
        <v>987.5</v>
      </c>
      <c r="AF15" s="5"/>
    </row>
    <row r="16" spans="1:32" x14ac:dyDescent="0.3">
      <c r="A16" s="41" t="s">
        <v>9</v>
      </c>
      <c r="B16" s="5"/>
      <c r="C16" s="6">
        <f>C14-C15</f>
        <v>0</v>
      </c>
      <c r="D16" s="5"/>
      <c r="E16" s="6">
        <f>E14-E15</f>
        <v>0</v>
      </c>
      <c r="F16" s="6">
        <f>F14-F15</f>
        <v>746.25</v>
      </c>
      <c r="G16" s="5"/>
      <c r="H16" s="6">
        <f>H14-H15</f>
        <v>0</v>
      </c>
      <c r="I16" s="6">
        <f>I14-I15</f>
        <v>750</v>
      </c>
      <c r="J16" s="5"/>
      <c r="K16" s="6">
        <f>K14-K15</f>
        <v>2347.5</v>
      </c>
      <c r="L16" s="6">
        <f>L14-L15</f>
        <v>615</v>
      </c>
      <c r="M16" s="5"/>
      <c r="N16" s="6">
        <f>N14-N15</f>
        <v>2962.5</v>
      </c>
      <c r="O16" s="6">
        <f>O14-O15</f>
        <v>0</v>
      </c>
      <c r="P16" s="5"/>
      <c r="Q16" s="6">
        <f>Q14-Q15</f>
        <v>2962.5</v>
      </c>
      <c r="R16" s="6">
        <f>R14-R15</f>
        <v>0</v>
      </c>
      <c r="S16" s="5"/>
      <c r="T16" s="6">
        <f>T14-T15</f>
        <v>2962.5</v>
      </c>
      <c r="U16" s="6">
        <f>U14-U15</f>
        <v>0</v>
      </c>
      <c r="V16" s="5"/>
      <c r="W16" s="6">
        <f>W14-W15</f>
        <v>2962.5</v>
      </c>
      <c r="X16" s="6">
        <f>X14-X15</f>
        <v>0</v>
      </c>
      <c r="Y16" s="5"/>
      <c r="Z16" s="6">
        <f>Z14-Z15</f>
        <v>2962.5</v>
      </c>
      <c r="AA16" s="5"/>
      <c r="AB16" s="6">
        <f>AB14-AB15</f>
        <v>90</v>
      </c>
      <c r="AC16" s="6">
        <f>AC14-AC15</f>
        <v>2872.5</v>
      </c>
      <c r="AD16" s="5"/>
      <c r="AE16" s="6">
        <f>AE14-AE15</f>
        <v>2962.5</v>
      </c>
      <c r="AF16" s="5"/>
    </row>
    <row r="17" spans="1:34" x14ac:dyDescent="0.3">
      <c r="A17" s="40" t="s">
        <v>25</v>
      </c>
      <c r="B17" s="5"/>
      <c r="C17" s="11">
        <f>SUM(C7-C11-C14)</f>
        <v>0</v>
      </c>
      <c r="D17" s="5"/>
      <c r="E17" s="11">
        <f>SUM(E7-E11-E14)</f>
        <v>0</v>
      </c>
      <c r="F17" s="11">
        <f>SUM(F7-F11-F14)</f>
        <v>0</v>
      </c>
      <c r="G17" s="5"/>
      <c r="H17" s="11">
        <f>SUM(H7-H11-H14)</f>
        <v>0</v>
      </c>
      <c r="I17" s="11">
        <f>SUM(I7-I11-I14)</f>
        <v>0</v>
      </c>
      <c r="J17" s="5"/>
      <c r="K17" s="11">
        <f>SUM(K7-K11-K14)</f>
        <v>0</v>
      </c>
      <c r="L17" s="11">
        <f>SUM(L7-L11-L14)</f>
        <v>180</v>
      </c>
      <c r="M17" s="5"/>
      <c r="N17" s="11">
        <f>SUM(N7-N11-N14)</f>
        <v>570</v>
      </c>
      <c r="O17" s="11">
        <f>SUM(O7-O11-O14)</f>
        <v>1000</v>
      </c>
      <c r="P17" s="5"/>
      <c r="Q17" s="11">
        <f>SUM(Q7-Q11-Q14)</f>
        <v>704.74</v>
      </c>
      <c r="R17" s="11">
        <f>SUM(R7-R11-R14)</f>
        <v>6000</v>
      </c>
      <c r="S17" s="5"/>
      <c r="T17" s="11">
        <f>SUM(T7-T11-T14)</f>
        <v>5771.05</v>
      </c>
      <c r="U17" s="11">
        <f>SUM(U7-U11-U14)</f>
        <v>1000</v>
      </c>
      <c r="V17" s="5"/>
      <c r="W17" s="11">
        <f>SUM(W7-W11-W14)</f>
        <v>7570</v>
      </c>
      <c r="X17" s="11">
        <f>SUM(X7-X11-X14)</f>
        <v>1000</v>
      </c>
      <c r="Y17" s="5"/>
      <c r="Z17" s="11">
        <f>SUM(Z7-Z11-Z14)</f>
        <v>7570</v>
      </c>
      <c r="AA17" s="5"/>
      <c r="AB17" s="11">
        <f>SUM(AB7-AB11-AB14)</f>
        <v>0</v>
      </c>
      <c r="AC17" s="11">
        <f>SUM(AC7-AC11-AC14)</f>
        <v>6403.21</v>
      </c>
      <c r="AD17" s="5"/>
      <c r="AE17" s="11">
        <f>SUM(AE7-AE11-AE14)</f>
        <v>1570</v>
      </c>
      <c r="AF17" s="5"/>
    </row>
    <row r="18" spans="1:34" x14ac:dyDescent="0.3">
      <c r="A18" s="40" t="s">
        <v>43</v>
      </c>
      <c r="B18" s="5"/>
      <c r="C18" s="11">
        <f>7050-C9-C12-C15</f>
        <v>6505</v>
      </c>
      <c r="D18" s="5"/>
      <c r="E18" s="11">
        <f>7050-E9-E12-E15</f>
        <v>6575</v>
      </c>
      <c r="F18" s="11">
        <f>7050-F9-F12-F15</f>
        <v>6321.25</v>
      </c>
      <c r="G18" s="5"/>
      <c r="H18" s="11">
        <f>7050-H9-H12-H15</f>
        <v>6570</v>
      </c>
      <c r="I18" s="11">
        <f>7050-I9-I12-I15</f>
        <v>6320</v>
      </c>
      <c r="J18" s="5"/>
      <c r="K18" s="11">
        <f>7050-K9-K12-K15</f>
        <v>5787.5</v>
      </c>
      <c r="L18" s="11">
        <f>7050-L9-L12-L15</f>
        <v>5582.5</v>
      </c>
      <c r="M18" s="5"/>
      <c r="N18" s="11">
        <f>7050-N9-N12-N15</f>
        <v>5582.5</v>
      </c>
      <c r="O18" s="11">
        <f>7050-O9-O12-O15</f>
        <v>5041</v>
      </c>
      <c r="P18" s="5"/>
      <c r="Q18" s="11">
        <f>7050-Q9-Q12-Q15</f>
        <v>5582.5</v>
      </c>
      <c r="R18" s="11">
        <f>7050-R9-R12-R15</f>
        <v>4913</v>
      </c>
      <c r="S18" s="5"/>
      <c r="T18" s="11">
        <f>7050-T9-T12-T15</f>
        <v>5582.5</v>
      </c>
      <c r="U18" s="11">
        <f>7050-U9-U12-U15</f>
        <v>100</v>
      </c>
      <c r="V18" s="5"/>
      <c r="W18" s="11">
        <f>7050-W9-W12-W15</f>
        <v>5582.5</v>
      </c>
      <c r="X18" s="11">
        <f>7050-X9-X12-X15</f>
        <v>0</v>
      </c>
      <c r="Y18" s="5"/>
      <c r="Z18" s="11">
        <f>7050-Z9-Z12-Z15</f>
        <v>5582.5</v>
      </c>
      <c r="AA18" s="5"/>
      <c r="AB18" s="11">
        <f>7050-AB9-AB12-AB15</f>
        <v>6540</v>
      </c>
      <c r="AC18" s="11">
        <f>7050-AC9-AC12-AC15</f>
        <v>5582.5</v>
      </c>
      <c r="AD18" s="5"/>
      <c r="AE18" s="11">
        <f>7050-AE9-AE12-AE15</f>
        <v>5582.5</v>
      </c>
      <c r="AF18" s="5"/>
    </row>
    <row r="19" spans="1:34" x14ac:dyDescent="0.3">
      <c r="A19" s="40" t="s">
        <v>22</v>
      </c>
      <c r="B19" s="5"/>
      <c r="C19" s="11">
        <f>IF(C17=0,0,MIN(C17,C18/95%))</f>
        <v>0</v>
      </c>
      <c r="D19" s="5"/>
      <c r="E19" s="11">
        <f>IF(E17=0,0,MIN(E17,E18/95%))</f>
        <v>0</v>
      </c>
      <c r="F19" s="11">
        <f>IF(F17=0,0,MIN(F17,F18/95%))</f>
        <v>0</v>
      </c>
      <c r="G19" s="5"/>
      <c r="H19" s="11">
        <f>IF(H17=0,0,MIN(H17,H18/95%))</f>
        <v>0</v>
      </c>
      <c r="I19" s="11">
        <f>IF(I17=0,0,MIN(I17,I18/95%))</f>
        <v>0</v>
      </c>
      <c r="J19" s="5"/>
      <c r="K19" s="11">
        <f>IF(K17=0,0,MIN(K17,K18/95%))</f>
        <v>0</v>
      </c>
      <c r="L19" s="11">
        <f>IF(L17=0,0,MIN(L17,L18/95%))</f>
        <v>180</v>
      </c>
      <c r="M19" s="5"/>
      <c r="N19" s="11">
        <f>IF(N17=0,0,MIN(N17,N18/95%))</f>
        <v>570</v>
      </c>
      <c r="O19" s="11">
        <f>IF(O17=0,0,MIN(O17,O18/95%))</f>
        <v>1000</v>
      </c>
      <c r="P19" s="5"/>
      <c r="Q19" s="11">
        <f>IF(Q17=0,0,MIN(Q17,Q18/95%))</f>
        <v>704.74</v>
      </c>
      <c r="R19" s="11">
        <f>IF(R17=0,0,MIN(R17,R18/95%))</f>
        <v>5171.58</v>
      </c>
      <c r="S19" s="5"/>
      <c r="T19" s="11">
        <f>IF(T17=0,0,MIN(T17,T18/95%))</f>
        <v>5771.05</v>
      </c>
      <c r="U19" s="11">
        <v>105.26</v>
      </c>
      <c r="V19" s="5"/>
      <c r="W19" s="11">
        <f>IF(W17=0,0,MIN(W17,W18/95%))</f>
        <v>5876.32</v>
      </c>
      <c r="X19" s="11">
        <f>IF(X17=0,0,MIN(X17,X18/95%))</f>
        <v>0</v>
      </c>
      <c r="Y19" s="5"/>
      <c r="Z19" s="11">
        <f>IF(Z17=0,0,MIN(Z17,Z18/95%))</f>
        <v>5876.32</v>
      </c>
      <c r="AA19" s="5"/>
      <c r="AB19" s="11">
        <f>IF(AB17=0,0,MIN(AB17,AB18/95%))</f>
        <v>0</v>
      </c>
      <c r="AC19" s="11">
        <f>IF(AC17=0,0,MIN(AC17,AC18/95%))</f>
        <v>5876.32</v>
      </c>
      <c r="AD19" s="5"/>
      <c r="AE19" s="11">
        <f>IF(AE17=0,0,MIN(AE17,AE18/95%))</f>
        <v>1570</v>
      </c>
      <c r="AF19" s="5"/>
    </row>
    <row r="20" spans="1:34" x14ac:dyDescent="0.3">
      <c r="A20" s="40" t="s">
        <v>24</v>
      </c>
      <c r="B20" s="5"/>
      <c r="C20" s="11">
        <f>C19</f>
        <v>0</v>
      </c>
      <c r="D20" s="5"/>
      <c r="E20" s="11">
        <f>E19</f>
        <v>0</v>
      </c>
      <c r="F20" s="11">
        <f>F19</f>
        <v>0</v>
      </c>
      <c r="G20" s="5"/>
      <c r="H20" s="11">
        <f>H19</f>
        <v>0</v>
      </c>
      <c r="I20" s="11">
        <f>I19</f>
        <v>0</v>
      </c>
      <c r="J20" s="5"/>
      <c r="K20" s="11">
        <f>K19</f>
        <v>0</v>
      </c>
      <c r="L20" s="11">
        <f>L19</f>
        <v>180</v>
      </c>
      <c r="M20" s="5"/>
      <c r="N20" s="11">
        <f>N19</f>
        <v>570</v>
      </c>
      <c r="O20" s="11">
        <f>O19</f>
        <v>1000</v>
      </c>
      <c r="P20" s="5"/>
      <c r="Q20" s="11">
        <f>Q19</f>
        <v>704.74</v>
      </c>
      <c r="R20" s="11">
        <f>R19</f>
        <v>5171.58</v>
      </c>
      <c r="S20" s="5"/>
      <c r="T20" s="11">
        <f>T19</f>
        <v>5771.05</v>
      </c>
      <c r="U20" s="11">
        <v>105.26</v>
      </c>
      <c r="V20" s="5"/>
      <c r="W20" s="11">
        <f>W19</f>
        <v>5876.32</v>
      </c>
      <c r="X20" s="11">
        <f>X19</f>
        <v>0</v>
      </c>
      <c r="Y20" s="5"/>
      <c r="Z20" s="11">
        <f>Z19</f>
        <v>5876.32</v>
      </c>
      <c r="AA20" s="5"/>
      <c r="AB20" s="11">
        <f>AB19</f>
        <v>0</v>
      </c>
      <c r="AC20" s="11">
        <f>AC19</f>
        <v>5876.32</v>
      </c>
      <c r="AD20" s="5"/>
      <c r="AE20" s="11">
        <f>AE19</f>
        <v>1570</v>
      </c>
      <c r="AF20" s="5"/>
    </row>
    <row r="21" spans="1:34" x14ac:dyDescent="0.3">
      <c r="A21" s="41" t="s">
        <v>10</v>
      </c>
      <c r="B21" s="5"/>
      <c r="C21" s="6">
        <f>C19*95%-C22</f>
        <v>0</v>
      </c>
      <c r="D21" s="5"/>
      <c r="E21" s="6">
        <f>E19*95%-E22</f>
        <v>0</v>
      </c>
      <c r="F21" s="6">
        <f>F19*95%-F22</f>
        <v>0</v>
      </c>
      <c r="G21" s="5"/>
      <c r="H21" s="6">
        <f>H19*95%-H22</f>
        <v>0</v>
      </c>
      <c r="I21" s="6">
        <f>I19*95%-I22</f>
        <v>0</v>
      </c>
      <c r="J21" s="5"/>
      <c r="K21" s="6">
        <f>K19*95%-K22</f>
        <v>0</v>
      </c>
      <c r="L21" s="6">
        <f>(L19*95%-L22)</f>
        <v>45</v>
      </c>
      <c r="M21" s="5"/>
      <c r="N21" s="6">
        <f>N19*95%-N22</f>
        <v>142.5</v>
      </c>
      <c r="O21" s="6">
        <f>(O19*95%-O22)</f>
        <v>250</v>
      </c>
      <c r="P21" s="5"/>
      <c r="Q21" s="6">
        <f>(Q19*95%)-Q22</f>
        <v>176.18</v>
      </c>
      <c r="R21" s="6">
        <f>(R19*95%-R22)</f>
        <v>1292.8900000000001</v>
      </c>
      <c r="S21" s="5"/>
      <c r="T21" s="6">
        <f>T19*95%-T22</f>
        <v>1442.76</v>
      </c>
      <c r="U21" s="6">
        <f>(U19*95%-U22)</f>
        <v>26.32</v>
      </c>
      <c r="V21" s="5"/>
      <c r="W21" s="6">
        <f>W19*95%-W22</f>
        <v>1469.08</v>
      </c>
      <c r="X21" s="6">
        <f>(X19*95%-X22)</f>
        <v>0</v>
      </c>
      <c r="Y21" s="5"/>
      <c r="Z21" s="6">
        <f>Z19*95%-Z22</f>
        <v>1469.08</v>
      </c>
      <c r="AA21" s="5"/>
      <c r="AB21" s="6">
        <f>AB19*95%-AB22</f>
        <v>0</v>
      </c>
      <c r="AC21" s="6">
        <f>(AC19*95%-AC22)</f>
        <v>1469.08</v>
      </c>
      <c r="AD21" s="5"/>
      <c r="AE21" s="6">
        <f>(AE19*95%-AE22)</f>
        <v>392.5</v>
      </c>
      <c r="AF21" s="5"/>
    </row>
    <row r="22" spans="1:34" x14ac:dyDescent="0.3">
      <c r="A22" s="41" t="s">
        <v>17</v>
      </c>
      <c r="B22" s="5"/>
      <c r="C22" s="6">
        <f>C20*70%</f>
        <v>0</v>
      </c>
      <c r="D22" s="5"/>
      <c r="E22" s="6">
        <f>E20*70%</f>
        <v>0</v>
      </c>
      <c r="F22" s="6">
        <f>F20*70%</f>
        <v>0</v>
      </c>
      <c r="G22" s="5"/>
      <c r="H22" s="6">
        <f>H20*70%</f>
        <v>0</v>
      </c>
      <c r="I22" s="6">
        <f>I20*70%</f>
        <v>0</v>
      </c>
      <c r="J22" s="5"/>
      <c r="K22" s="6">
        <f>K20*70%</f>
        <v>0</v>
      </c>
      <c r="L22" s="6">
        <f>L20*70%</f>
        <v>126</v>
      </c>
      <c r="M22" s="5"/>
      <c r="N22" s="6">
        <f>N20*70%</f>
        <v>399</v>
      </c>
      <c r="O22" s="6">
        <f>O20*70%</f>
        <v>700</v>
      </c>
      <c r="P22" s="5"/>
      <c r="Q22" s="6">
        <f>Q20*70%</f>
        <v>493.32</v>
      </c>
      <c r="R22" s="6">
        <f>R20*70%</f>
        <v>3620.11</v>
      </c>
      <c r="S22" s="5"/>
      <c r="T22" s="6">
        <f>T20*70%</f>
        <v>4039.74</v>
      </c>
      <c r="U22" s="6">
        <f>U20*70%</f>
        <v>73.680000000000007</v>
      </c>
      <c r="V22" s="5"/>
      <c r="W22" s="6">
        <f>W20*70%</f>
        <v>4113.42</v>
      </c>
      <c r="X22" s="6">
        <f>X20*70%</f>
        <v>0</v>
      </c>
      <c r="Y22" s="5"/>
      <c r="Z22" s="6">
        <f>Z20*70%</f>
        <v>4113.42</v>
      </c>
      <c r="AA22" s="5"/>
      <c r="AB22" s="6">
        <f>AB20*70%</f>
        <v>0</v>
      </c>
      <c r="AC22" s="6">
        <f>AC20*70%</f>
        <v>4113.42</v>
      </c>
      <c r="AD22" s="5"/>
      <c r="AE22" s="6">
        <f>AE20*70%</f>
        <v>1099</v>
      </c>
      <c r="AF22" s="5"/>
    </row>
    <row r="23" spans="1:34" x14ac:dyDescent="0.3">
      <c r="A23" s="41" t="s">
        <v>12</v>
      </c>
      <c r="B23" s="5"/>
      <c r="C23" s="6">
        <f>SUM(C19-C21-C22)</f>
        <v>0</v>
      </c>
      <c r="D23" s="5"/>
      <c r="E23" s="6">
        <f>SUM(E19-E21-E22)</f>
        <v>0</v>
      </c>
      <c r="F23" s="6">
        <f>SUM(F19-F21-F22)</f>
        <v>0</v>
      </c>
      <c r="G23" s="5"/>
      <c r="H23" s="6">
        <f>SUM(H19-H21-H22)</f>
        <v>0</v>
      </c>
      <c r="I23" s="6">
        <f>SUM(I19-I21-I22)</f>
        <v>0</v>
      </c>
      <c r="J23" s="5"/>
      <c r="K23" s="6">
        <f>SUM(K19-K21-K22)</f>
        <v>0</v>
      </c>
      <c r="L23" s="6">
        <f>SUM(L19-L21-L22)</f>
        <v>9</v>
      </c>
      <c r="M23" s="5"/>
      <c r="N23" s="6">
        <f>SUM(N19-N21-N22)</f>
        <v>28.5</v>
      </c>
      <c r="O23" s="6">
        <f>SUM(O19-O21-O22)</f>
        <v>50</v>
      </c>
      <c r="P23" s="5"/>
      <c r="Q23" s="6">
        <f>SUM(Q19-Q21-Q22)</f>
        <v>35.24</v>
      </c>
      <c r="R23" s="6">
        <f>SUM(R19-R21-R22)</f>
        <v>258.58</v>
      </c>
      <c r="S23" s="5"/>
      <c r="T23" s="6">
        <f>SUM(T19-T21-T22)</f>
        <v>288.55</v>
      </c>
      <c r="U23" s="6">
        <f>SUM(U19-U21-U22)</f>
        <v>5.26</v>
      </c>
      <c r="V23" s="5"/>
      <c r="W23" s="6">
        <f>SUM(W19-W21-W22)</f>
        <v>293.82</v>
      </c>
      <c r="X23" s="6">
        <f>SUM(X19-X21-X22)</f>
        <v>0</v>
      </c>
      <c r="Y23" s="5"/>
      <c r="Z23" s="6">
        <f>SUM(Z19-Z21-Z22)</f>
        <v>293.82</v>
      </c>
      <c r="AA23" s="5"/>
      <c r="AB23" s="6">
        <f>SUM(AB19-AB21-AB22)</f>
        <v>0</v>
      </c>
      <c r="AC23" s="6">
        <f>SUM(AC19-AC21-AC22)</f>
        <v>293.82</v>
      </c>
      <c r="AD23" s="5"/>
      <c r="AE23" s="6">
        <f>SUM(AE19-AE21-AE22)</f>
        <v>78.5</v>
      </c>
      <c r="AF23" s="5"/>
    </row>
    <row r="24" spans="1:34" x14ac:dyDescent="0.3">
      <c r="A24" s="40" t="s">
        <v>23</v>
      </c>
      <c r="B24" s="5"/>
      <c r="C24" s="11">
        <f>SUM(C6-C11-C14-C19)</f>
        <v>0</v>
      </c>
      <c r="D24" s="5"/>
      <c r="E24" s="11">
        <f>SUM(E6-E11-E14-E19)</f>
        <v>0</v>
      </c>
      <c r="F24" s="11">
        <f>SUM(F6-F11-F14-F19)</f>
        <v>0</v>
      </c>
      <c r="G24" s="5"/>
      <c r="H24" s="11">
        <f>SUM(H6-H11-H14-H19)</f>
        <v>0</v>
      </c>
      <c r="I24" s="11">
        <f>SUM(I6-I11-I14-I19)</f>
        <v>0</v>
      </c>
      <c r="J24" s="5"/>
      <c r="K24" s="11">
        <f>SUM(K6-K11-K14-K19)</f>
        <v>0</v>
      </c>
      <c r="L24" s="11">
        <f>SUM(L6-L11-L14-L19)</f>
        <v>0</v>
      </c>
      <c r="M24" s="5"/>
      <c r="N24" s="11">
        <f>SUM(N6-N11-N14-N19)</f>
        <v>0</v>
      </c>
      <c r="O24" s="11">
        <f>SUM(O6-O11-O14-O19)</f>
        <v>0</v>
      </c>
      <c r="P24" s="5"/>
      <c r="Q24" s="11">
        <f>SUM(Q6-Q11-Q14-Q19)</f>
        <v>0</v>
      </c>
      <c r="R24" s="11">
        <f>SUM(R6-R11-R14-R19)</f>
        <v>828.42</v>
      </c>
      <c r="S24" s="5"/>
      <c r="T24" s="11">
        <f>SUM(T6-T11-T14-T19)</f>
        <v>0</v>
      </c>
      <c r="U24" s="11">
        <f>SUM(U6-U11-U14-U19)</f>
        <v>894.74</v>
      </c>
      <c r="V24" s="5"/>
      <c r="W24" s="11">
        <f>SUM(W6-W11-W14-W19)</f>
        <v>1693.68</v>
      </c>
      <c r="X24" s="11">
        <f>SUM(X6-X11-X14-X19)</f>
        <v>1000</v>
      </c>
      <c r="Y24" s="5"/>
      <c r="Z24" s="11">
        <f>SUM(Z6-Z11-Z14-Z19)</f>
        <v>1693.68</v>
      </c>
      <c r="AA24" s="5"/>
      <c r="AB24" s="11">
        <f>SUM(AB6-AB11-AB14-AB19)</f>
        <v>0</v>
      </c>
      <c r="AC24" s="11">
        <f>SUM(AC6-AC11-AC14-AC19)</f>
        <v>526.89</v>
      </c>
      <c r="AD24" s="5"/>
      <c r="AE24" s="11">
        <v>0</v>
      </c>
      <c r="AF24" s="5"/>
    </row>
    <row r="25" spans="1:34" x14ac:dyDescent="0.3">
      <c r="A25" s="41" t="s">
        <v>13</v>
      </c>
      <c r="B25" s="5"/>
      <c r="C25" s="6">
        <f>SUM(C24*5%)</f>
        <v>0</v>
      </c>
      <c r="D25" s="5"/>
      <c r="E25" s="6">
        <f>SUM(E24*5%)</f>
        <v>0</v>
      </c>
      <c r="F25" s="6">
        <f>SUM(F24*5%)</f>
        <v>0</v>
      </c>
      <c r="G25" s="5"/>
      <c r="H25" s="6">
        <f>SUM(H24*5%)</f>
        <v>0</v>
      </c>
      <c r="I25" s="6">
        <f>SUM(I24*5%)</f>
        <v>0</v>
      </c>
      <c r="J25" s="5"/>
      <c r="K25" s="6">
        <f>SUM(K24*5%)</f>
        <v>0</v>
      </c>
      <c r="L25" s="6">
        <f>SUM(L24*5%)</f>
        <v>0</v>
      </c>
      <c r="M25" s="5"/>
      <c r="N25" s="6">
        <f>SUM(N24*5%)</f>
        <v>0</v>
      </c>
      <c r="O25" s="6">
        <f>SUM(O24*5%)</f>
        <v>0</v>
      </c>
      <c r="P25" s="5"/>
      <c r="Q25" s="6">
        <f>SUM(Q24*5%)</f>
        <v>0</v>
      </c>
      <c r="R25" s="6">
        <f>SUM(R24*5%)</f>
        <v>41.42</v>
      </c>
      <c r="S25" s="5"/>
      <c r="T25" s="6">
        <f>SUM(T24*5%)</f>
        <v>0</v>
      </c>
      <c r="U25" s="6">
        <f>SUM(U24*5%)</f>
        <v>44.74</v>
      </c>
      <c r="V25" s="5"/>
      <c r="W25" s="6">
        <f>SUM(W24*5%)</f>
        <v>84.68</v>
      </c>
      <c r="X25" s="6">
        <f>SUM(X24*5%)</f>
        <v>50</v>
      </c>
      <c r="Y25" s="5"/>
      <c r="Z25" s="6">
        <f>SUM(Z24*5%)</f>
        <v>84.68</v>
      </c>
      <c r="AA25" s="5"/>
      <c r="AB25" s="6">
        <f>SUM(AB24*5%)</f>
        <v>0</v>
      </c>
      <c r="AC25" s="6">
        <f>SUM(AC24*5%)</f>
        <v>26.34</v>
      </c>
      <c r="AD25" s="5"/>
      <c r="AE25" s="6">
        <f>SUM(AE24*5%)</f>
        <v>0</v>
      </c>
      <c r="AF25" s="5"/>
    </row>
    <row r="26" spans="1:34" x14ac:dyDescent="0.3">
      <c r="A26" s="41" t="s">
        <v>16</v>
      </c>
      <c r="B26" s="5"/>
      <c r="C26" s="6">
        <f>SUM(C24-C25)</f>
        <v>0</v>
      </c>
      <c r="D26" s="5"/>
      <c r="E26" s="6">
        <f>SUM(E24-E25)</f>
        <v>0</v>
      </c>
      <c r="F26" s="6">
        <f>SUM(F24-F25)</f>
        <v>0</v>
      </c>
      <c r="G26" s="5"/>
      <c r="H26" s="6">
        <f>SUM(H24-H25)</f>
        <v>0</v>
      </c>
      <c r="I26" s="6">
        <f>SUM(I24-I25)</f>
        <v>0</v>
      </c>
      <c r="J26" s="5"/>
      <c r="K26" s="6">
        <f>SUM(K24-K25)</f>
        <v>0</v>
      </c>
      <c r="L26" s="6">
        <f>SUM(L24-L25)</f>
        <v>0</v>
      </c>
      <c r="M26" s="5"/>
      <c r="N26" s="6">
        <f>SUM(N24-N25)</f>
        <v>0</v>
      </c>
      <c r="O26" s="6">
        <f>SUM(O24-O25)</f>
        <v>0</v>
      </c>
      <c r="P26" s="5"/>
      <c r="Q26" s="6">
        <f>SUM(Q24-Q25)</f>
        <v>0</v>
      </c>
      <c r="R26" s="6">
        <f>SUM(R24-R25)</f>
        <v>787</v>
      </c>
      <c r="S26" s="5"/>
      <c r="T26" s="6">
        <f>SUM(T24-T25)</f>
        <v>0</v>
      </c>
      <c r="U26" s="6">
        <f>SUM(U24-U25)</f>
        <v>850</v>
      </c>
      <c r="V26" s="5"/>
      <c r="W26" s="6">
        <f>SUM(W24-W25)</f>
        <v>1609</v>
      </c>
      <c r="X26" s="6">
        <f>SUM(X24-X25)</f>
        <v>950</v>
      </c>
      <c r="Y26" s="5"/>
      <c r="Z26" s="6">
        <f>SUM(Z24-Z25)</f>
        <v>1609</v>
      </c>
      <c r="AA26" s="5"/>
      <c r="AB26" s="6">
        <f>SUM(AB24-AB25)</f>
        <v>0</v>
      </c>
      <c r="AC26" s="6">
        <f>SUM(AC24-AC25)</f>
        <v>500.55</v>
      </c>
      <c r="AD26" s="5"/>
      <c r="AE26" s="6">
        <f>SUM(AE24-AE25)</f>
        <v>0</v>
      </c>
      <c r="AF26" s="5"/>
    </row>
    <row r="27" spans="1:34" ht="18.75" customHeight="1" x14ac:dyDescent="0.3">
      <c r="A27" s="42" t="s">
        <v>129</v>
      </c>
      <c r="B27" s="5"/>
      <c r="C27" s="11">
        <v>0</v>
      </c>
      <c r="D27" s="5"/>
      <c r="E27" s="11">
        <v>0</v>
      </c>
      <c r="F27" s="11">
        <v>0</v>
      </c>
      <c r="G27" s="5"/>
      <c r="H27" s="11">
        <v>0</v>
      </c>
      <c r="I27" s="11">
        <v>0</v>
      </c>
      <c r="J27" s="5"/>
      <c r="K27" s="11">
        <v>0</v>
      </c>
      <c r="L27" s="11">
        <v>0</v>
      </c>
      <c r="M27" s="5"/>
      <c r="N27" s="11">
        <v>0</v>
      </c>
      <c r="O27" s="11">
        <v>0</v>
      </c>
      <c r="P27" s="5"/>
      <c r="Q27" s="11">
        <v>0</v>
      </c>
      <c r="R27" s="11">
        <v>0</v>
      </c>
      <c r="S27" s="5"/>
      <c r="T27" s="11"/>
      <c r="U27" s="11"/>
      <c r="V27" s="5"/>
      <c r="W27" s="11"/>
      <c r="X27" s="11"/>
      <c r="Y27" s="5"/>
      <c r="Z27" s="11"/>
      <c r="AA27" s="5"/>
      <c r="AB27" s="11"/>
      <c r="AC27" s="11"/>
      <c r="AD27" s="5"/>
      <c r="AE27" s="11"/>
      <c r="AF27" s="5"/>
    </row>
    <row r="28" spans="1:34" x14ac:dyDescent="0.3">
      <c r="A28" s="41" t="s">
        <v>134</v>
      </c>
      <c r="B28" s="5"/>
      <c r="C28" s="6">
        <f>MIN(50%*C11,C2)</f>
        <v>50</v>
      </c>
      <c r="D28" s="5"/>
      <c r="E28" s="6">
        <f>100%*E11</f>
        <v>475</v>
      </c>
      <c r="F28" s="6">
        <f>MIN(50%*F11,F2)</f>
        <v>2.5</v>
      </c>
      <c r="G28" s="5"/>
      <c r="H28" s="6">
        <f>100%*H11</f>
        <v>480</v>
      </c>
      <c r="I28" s="6">
        <f>MIN(50%*I11,I2)</f>
        <v>0</v>
      </c>
      <c r="J28" s="5"/>
      <c r="K28" s="6">
        <f>100%*K11</f>
        <v>480</v>
      </c>
      <c r="L28" s="6">
        <f>MIN(50%*L11,L2)</f>
        <v>0</v>
      </c>
      <c r="M28" s="5"/>
      <c r="N28" s="6">
        <f>100%*N11</f>
        <v>480</v>
      </c>
      <c r="O28" s="6">
        <f>MIN(50%*O11,O2)</f>
        <v>0</v>
      </c>
      <c r="P28" s="5"/>
      <c r="Q28" s="6">
        <f>100%*Q11</f>
        <v>480</v>
      </c>
      <c r="R28" s="6">
        <f>MIN(50%*R11,R2)</f>
        <v>0</v>
      </c>
      <c r="S28" s="5"/>
      <c r="T28" s="6">
        <f>100%*T11</f>
        <v>480</v>
      </c>
      <c r="U28" s="6">
        <f>MIN(50%*U11,U2)</f>
        <v>0</v>
      </c>
      <c r="V28" s="5"/>
      <c r="W28" s="6">
        <f>100%*W11</f>
        <v>480</v>
      </c>
      <c r="X28" s="6">
        <f>MIN(50%*X11,X2)</f>
        <v>0</v>
      </c>
      <c r="Y28" s="5"/>
      <c r="Z28" s="6">
        <f>MIN(50%*Z11,Z2)</f>
        <v>10</v>
      </c>
      <c r="AA28" s="5"/>
      <c r="AB28" s="6">
        <f>100%*AB11</f>
        <v>480</v>
      </c>
      <c r="AC28" s="6">
        <f>MIN(50%*AC11,AC2)</f>
        <v>0</v>
      </c>
      <c r="AD28" s="5"/>
      <c r="AE28" s="6">
        <f>MIN(50%*AE11,AE2)</f>
        <v>10</v>
      </c>
      <c r="AF28" s="5"/>
    </row>
    <row r="29" spans="1:34" x14ac:dyDescent="0.3">
      <c r="A29" s="41" t="s">
        <v>34</v>
      </c>
      <c r="B29" s="5"/>
      <c r="C29" s="6">
        <f>MIN(C14*25%,C2-C28)</f>
        <v>0</v>
      </c>
      <c r="D29" s="5"/>
      <c r="E29" s="6">
        <f>E14*25%</f>
        <v>0</v>
      </c>
      <c r="F29" s="6">
        <f>MIN(F14*25%,F2-F28,F3)</f>
        <v>7.5</v>
      </c>
      <c r="G29" s="5"/>
      <c r="H29" s="6">
        <f>H14*25%</f>
        <v>0</v>
      </c>
      <c r="I29" s="6">
        <f>MIN(I14*25%,I3)</f>
        <v>20</v>
      </c>
      <c r="J29" s="5"/>
      <c r="K29" s="6">
        <f>K14*25%</f>
        <v>782.5</v>
      </c>
      <c r="L29" s="6">
        <f>MIN(L14*25%,L3)</f>
        <v>20</v>
      </c>
      <c r="M29" s="5"/>
      <c r="N29" s="6">
        <f>N14*25%</f>
        <v>987.5</v>
      </c>
      <c r="O29" s="6">
        <f>MIN(O14*25%,O3-O28)</f>
        <v>0</v>
      </c>
      <c r="P29" s="5"/>
      <c r="Q29" s="6">
        <f>Q14*25%</f>
        <v>987.5</v>
      </c>
      <c r="R29" s="6">
        <f>MIN(R14*25%,R3-R28)</f>
        <v>0</v>
      </c>
      <c r="S29" s="5"/>
      <c r="T29" s="6">
        <f>T14*25%</f>
        <v>987.5</v>
      </c>
      <c r="U29" s="6">
        <f>MIN(U14*25%,U2-U28)</f>
        <v>0</v>
      </c>
      <c r="V29" s="5"/>
      <c r="W29" s="6">
        <f>W14*25%</f>
        <v>987.5</v>
      </c>
      <c r="X29" s="6">
        <f>MIN(X14*25%,X2-X28)</f>
        <v>0</v>
      </c>
      <c r="Y29" s="5"/>
      <c r="Z29" s="6">
        <f>MIN(Z14*25%,Z2-Z28,Z3)</f>
        <v>0</v>
      </c>
      <c r="AA29" s="5"/>
      <c r="AB29" s="6">
        <f>AB14*25%</f>
        <v>30</v>
      </c>
      <c r="AC29" s="6">
        <f>MIN(AC14*25%,AC3-AC28,AC3)</f>
        <v>20</v>
      </c>
      <c r="AD29" s="5"/>
      <c r="AE29" s="6">
        <f>MIN(AE14*25%,AE2-AE28,AE3)</f>
        <v>0</v>
      </c>
      <c r="AF29" s="5"/>
    </row>
    <row r="30" spans="1:34" x14ac:dyDescent="0.3">
      <c r="A30" s="41" t="s">
        <v>35</v>
      </c>
      <c r="B30" s="5"/>
      <c r="C30" s="6">
        <f>MIN(C19*25%,C2-C28-C29)</f>
        <v>0</v>
      </c>
      <c r="D30" s="5"/>
      <c r="E30" s="6">
        <f>E19*25%</f>
        <v>0</v>
      </c>
      <c r="F30" s="6">
        <f>MIN(F19*25%,F2-F28-F29)</f>
        <v>0</v>
      </c>
      <c r="G30" s="5"/>
      <c r="H30" s="6">
        <f>H19*25%</f>
        <v>0</v>
      </c>
      <c r="I30" s="6">
        <v>0</v>
      </c>
      <c r="J30" s="5"/>
      <c r="K30" s="6">
        <f>K19*25%</f>
        <v>0</v>
      </c>
      <c r="L30" s="6">
        <f>MIN(L19*25%,L3-L29,L4)</f>
        <v>0</v>
      </c>
      <c r="M30" s="5"/>
      <c r="N30" s="6">
        <f>N19*25%</f>
        <v>142.5</v>
      </c>
      <c r="O30" s="6">
        <f>MIN(O19*25%,O4)</f>
        <v>30</v>
      </c>
      <c r="P30" s="5"/>
      <c r="Q30" s="6">
        <f>MIN(Q19*25%,Q21)</f>
        <v>176.18</v>
      </c>
      <c r="R30" s="6">
        <f>MIN(R19*25%,R4)</f>
        <v>30</v>
      </c>
      <c r="S30" s="5"/>
      <c r="T30" s="6">
        <f>MIN(T19*25%,T21)</f>
        <v>1442.76</v>
      </c>
      <c r="U30" s="6">
        <f>MIN(U19*25%,U4)</f>
        <v>26.32</v>
      </c>
      <c r="V30" s="5"/>
      <c r="W30" s="6">
        <f>MIN(W19*25%,W21)</f>
        <v>1469.08</v>
      </c>
      <c r="X30" s="6">
        <f>MIN(X19*25%,X4)</f>
        <v>0</v>
      </c>
      <c r="Y30" s="5"/>
      <c r="Z30" s="6">
        <f>MIN(Z19*25%,Z2-Z28-Z29,Z4)</f>
        <v>0</v>
      </c>
      <c r="AA30" s="5"/>
      <c r="AB30" s="6">
        <f>AB19*25%</f>
        <v>0</v>
      </c>
      <c r="AC30" s="6">
        <f>MIN(AC19*25%,AC3-AC28-AC29,AC4)</f>
        <v>0</v>
      </c>
      <c r="AD30" s="5"/>
      <c r="AE30" s="6">
        <f>MIN(AE19*25%,AE2-AE28-AE29,AE4)</f>
        <v>0</v>
      </c>
      <c r="AF30" s="5"/>
    </row>
    <row r="31" spans="1:34" ht="13.5" customHeight="1" x14ac:dyDescent="0.3">
      <c r="A31" s="41" t="s">
        <v>44</v>
      </c>
      <c r="B31" s="5"/>
      <c r="C31" s="6">
        <f>MIN(C24,5)</f>
        <v>0</v>
      </c>
      <c r="D31" s="5"/>
      <c r="E31" s="6">
        <f>E24 * 5%</f>
        <v>0</v>
      </c>
      <c r="F31" s="6">
        <f>MIN(F25,5)</f>
        <v>0</v>
      </c>
      <c r="G31" s="5"/>
      <c r="H31" s="6">
        <f>H24 * 5%</f>
        <v>0</v>
      </c>
      <c r="I31" s="6">
        <f>MIN(I25,5)</f>
        <v>0</v>
      </c>
      <c r="J31" s="5"/>
      <c r="K31" s="6">
        <f>K24 * 5%</f>
        <v>0</v>
      </c>
      <c r="L31" s="6">
        <f>MIN(L25,5)</f>
        <v>0</v>
      </c>
      <c r="M31" s="5"/>
      <c r="N31" s="6">
        <f>N24 * 5%</f>
        <v>0</v>
      </c>
      <c r="O31" s="6">
        <f>MIN(O25,5)</f>
        <v>0</v>
      </c>
      <c r="P31" s="5"/>
      <c r="Q31" s="6">
        <f>Q24 * 5%</f>
        <v>0</v>
      </c>
      <c r="R31" s="6">
        <v>0</v>
      </c>
      <c r="S31" s="5"/>
      <c r="T31" s="6">
        <f>T24 * 5%</f>
        <v>0</v>
      </c>
      <c r="U31" s="6">
        <f>IF(U19&gt;0,0,5)</f>
        <v>0</v>
      </c>
      <c r="V31" s="5"/>
      <c r="W31" s="6">
        <f>W24 * 5%</f>
        <v>84.68</v>
      </c>
      <c r="X31" s="6">
        <f>MIN(X24,5)</f>
        <v>5</v>
      </c>
      <c r="Y31" s="5"/>
      <c r="Z31" s="6">
        <v>0</v>
      </c>
      <c r="AA31" s="5"/>
      <c r="AB31" s="6">
        <f>AB24 * 5%</f>
        <v>0</v>
      </c>
      <c r="AC31" s="6">
        <v>0</v>
      </c>
      <c r="AD31" s="5"/>
      <c r="AE31" s="6">
        <v>0</v>
      </c>
      <c r="AF31" s="5"/>
      <c r="AH31" s="18"/>
    </row>
    <row r="32" spans="1:34" x14ac:dyDescent="0.3">
      <c r="A32" s="39" t="s">
        <v>36</v>
      </c>
      <c r="B32" s="5"/>
      <c r="C32" s="10"/>
      <c r="D32" s="5"/>
      <c r="E32" s="10"/>
      <c r="F32" s="10"/>
      <c r="G32" s="5"/>
      <c r="H32" s="10"/>
      <c r="I32" s="10"/>
      <c r="J32" s="5"/>
      <c r="K32" s="10"/>
      <c r="L32" s="10"/>
      <c r="M32" s="5"/>
      <c r="N32" s="10"/>
      <c r="O32" s="10"/>
      <c r="P32" s="5"/>
      <c r="Q32" s="10"/>
      <c r="R32" s="10"/>
      <c r="S32" s="5"/>
      <c r="T32" s="10"/>
      <c r="U32" s="10"/>
      <c r="V32" s="5"/>
      <c r="W32" s="10"/>
      <c r="X32" s="10"/>
      <c r="Y32" s="5"/>
      <c r="Z32" s="10"/>
      <c r="AA32" s="5"/>
      <c r="AB32" s="10"/>
      <c r="AC32" s="10"/>
      <c r="AD32" s="5"/>
      <c r="AE32" s="10"/>
      <c r="AF32" s="5"/>
    </row>
    <row r="33" spans="1:35" x14ac:dyDescent="0.3">
      <c r="A33" s="1" t="s">
        <v>14</v>
      </c>
      <c r="B33" s="5"/>
      <c r="C33" s="6">
        <f>C28</f>
        <v>50</v>
      </c>
      <c r="D33" s="5"/>
      <c r="E33" s="6">
        <f>E28</f>
        <v>475</v>
      </c>
      <c r="F33" s="6">
        <f>F28</f>
        <v>2.5</v>
      </c>
      <c r="G33" s="5"/>
      <c r="H33" s="6">
        <f>H28</f>
        <v>480</v>
      </c>
      <c r="I33" s="6">
        <f>I28</f>
        <v>0</v>
      </c>
      <c r="J33" s="5"/>
      <c r="K33" s="6">
        <f>K28</f>
        <v>480</v>
      </c>
      <c r="L33" s="6">
        <f>L28</f>
        <v>0</v>
      </c>
      <c r="M33" s="5"/>
      <c r="N33" s="6">
        <f>N28</f>
        <v>480</v>
      </c>
      <c r="O33" s="6">
        <f>O28</f>
        <v>0</v>
      </c>
      <c r="P33" s="5"/>
      <c r="Q33" s="6">
        <f>Q28</f>
        <v>480</v>
      </c>
      <c r="R33" s="6">
        <f>R28</f>
        <v>0</v>
      </c>
      <c r="S33" s="5"/>
      <c r="T33" s="6">
        <f>T28</f>
        <v>480</v>
      </c>
      <c r="U33" s="6">
        <f>U28</f>
        <v>0</v>
      </c>
      <c r="V33" s="5"/>
      <c r="W33" s="6">
        <f>W28</f>
        <v>480</v>
      </c>
      <c r="X33" s="6">
        <f>X28</f>
        <v>0</v>
      </c>
      <c r="Y33" s="5"/>
      <c r="Z33" s="6">
        <f>Z28</f>
        <v>10</v>
      </c>
      <c r="AA33" s="5"/>
      <c r="AB33" s="6">
        <f>AB28</f>
        <v>480</v>
      </c>
      <c r="AC33" s="6">
        <f>AC28</f>
        <v>0</v>
      </c>
      <c r="AD33" s="5"/>
      <c r="AE33" s="6">
        <f>AE28</f>
        <v>10</v>
      </c>
      <c r="AF33" s="5"/>
    </row>
    <row r="34" spans="1:35" x14ac:dyDescent="0.3">
      <c r="A34" s="1" t="s">
        <v>15</v>
      </c>
      <c r="B34" s="5"/>
      <c r="C34" s="6">
        <f>C13</f>
        <v>0</v>
      </c>
      <c r="D34" s="5"/>
      <c r="E34" s="6">
        <f>E13</f>
        <v>0</v>
      </c>
      <c r="F34" s="6">
        <f>F13</f>
        <v>0</v>
      </c>
      <c r="G34" s="5"/>
      <c r="H34" s="6">
        <f>H13</f>
        <v>0</v>
      </c>
      <c r="I34" s="6">
        <f>I13</f>
        <v>0</v>
      </c>
      <c r="J34" s="5"/>
      <c r="K34" s="6">
        <f>K13</f>
        <v>0</v>
      </c>
      <c r="L34" s="6">
        <f>L13</f>
        <v>0</v>
      </c>
      <c r="M34" s="5"/>
      <c r="N34" s="6">
        <f>N13</f>
        <v>0</v>
      </c>
      <c r="O34" s="6">
        <f>O13</f>
        <v>0</v>
      </c>
      <c r="P34" s="5"/>
      <c r="Q34" s="6">
        <f>Q13</f>
        <v>0</v>
      </c>
      <c r="R34" s="6">
        <f>R13</f>
        <v>0</v>
      </c>
      <c r="S34" s="5"/>
      <c r="T34" s="6">
        <f>T13</f>
        <v>0</v>
      </c>
      <c r="U34" s="6">
        <f>U13</f>
        <v>0</v>
      </c>
      <c r="V34" s="5"/>
      <c r="W34" s="6">
        <f>W13</f>
        <v>0</v>
      </c>
      <c r="X34" s="6">
        <f>X13</f>
        <v>0</v>
      </c>
      <c r="Y34" s="5"/>
      <c r="Z34" s="6">
        <f>Z13</f>
        <v>0</v>
      </c>
      <c r="AA34" s="5"/>
      <c r="AB34" s="6">
        <f>AB13</f>
        <v>0</v>
      </c>
      <c r="AC34" s="6">
        <f>AC13</f>
        <v>0</v>
      </c>
      <c r="AD34" s="5"/>
      <c r="AE34" s="6">
        <f>AE13</f>
        <v>0</v>
      </c>
      <c r="AF34" s="5"/>
    </row>
    <row r="35" spans="1:35" x14ac:dyDescent="0.3">
      <c r="A35" s="1" t="s">
        <v>99</v>
      </c>
      <c r="B35" s="5"/>
      <c r="C35" s="6">
        <f>C12-C28</f>
        <v>495</v>
      </c>
      <c r="D35" s="5"/>
      <c r="E35" s="6">
        <f>E12-E28</f>
        <v>0</v>
      </c>
      <c r="F35" s="6">
        <f>F12-F28</f>
        <v>2.5</v>
      </c>
      <c r="G35" s="5"/>
      <c r="H35" s="6">
        <f>H12-H28</f>
        <v>0</v>
      </c>
      <c r="I35" s="6">
        <f>I12-I28</f>
        <v>0</v>
      </c>
      <c r="J35" s="5"/>
      <c r="K35" s="6">
        <f>K12-K28</f>
        <v>0</v>
      </c>
      <c r="L35" s="6">
        <f>L12-L28</f>
        <v>0</v>
      </c>
      <c r="M35" s="5"/>
      <c r="N35" s="6">
        <f>N12-N28</f>
        <v>0</v>
      </c>
      <c r="O35" s="6">
        <f>O12-O28</f>
        <v>0</v>
      </c>
      <c r="P35" s="5"/>
      <c r="Q35" s="6">
        <f>Q12-Q28</f>
        <v>0</v>
      </c>
      <c r="R35" s="6">
        <f>R12-R28</f>
        <v>0</v>
      </c>
      <c r="S35" s="5"/>
      <c r="T35" s="6">
        <f>T12-T28</f>
        <v>0</v>
      </c>
      <c r="U35" s="6">
        <f>U12-U28</f>
        <v>0</v>
      </c>
      <c r="V35" s="5"/>
      <c r="W35" s="6">
        <f>W12-W28</f>
        <v>0</v>
      </c>
      <c r="X35" s="6">
        <f>X12-X28</f>
        <v>0</v>
      </c>
      <c r="Y35" s="5"/>
      <c r="Z35" s="6">
        <f>Z12-Z28</f>
        <v>470</v>
      </c>
      <c r="AA35" s="5"/>
      <c r="AB35" s="6">
        <f>AB12-AB28</f>
        <v>0</v>
      </c>
      <c r="AC35" s="6">
        <f>AC12-AC28</f>
        <v>0</v>
      </c>
      <c r="AD35" s="5"/>
      <c r="AE35" s="6">
        <f>AE12-AE28</f>
        <v>470</v>
      </c>
      <c r="AF35" s="5"/>
    </row>
    <row r="36" spans="1:35" x14ac:dyDescent="0.3">
      <c r="A36" s="1" t="s">
        <v>100</v>
      </c>
      <c r="B36" s="5"/>
      <c r="C36" s="6">
        <f>C29</f>
        <v>0</v>
      </c>
      <c r="D36" s="5"/>
      <c r="E36" s="6">
        <f>E29</f>
        <v>0</v>
      </c>
      <c r="F36" s="6">
        <f>F29</f>
        <v>7.5</v>
      </c>
      <c r="G36" s="5"/>
      <c r="H36" s="6">
        <f>H29</f>
        <v>0</v>
      </c>
      <c r="I36" s="6">
        <f>I29</f>
        <v>20</v>
      </c>
      <c r="J36" s="5"/>
      <c r="K36" s="6">
        <f>K29</f>
        <v>782.5</v>
      </c>
      <c r="L36" s="6">
        <f>L29</f>
        <v>20</v>
      </c>
      <c r="M36" s="5"/>
      <c r="N36" s="6">
        <f>N29</f>
        <v>987.5</v>
      </c>
      <c r="O36" s="6">
        <f>O29</f>
        <v>0</v>
      </c>
      <c r="P36" s="5"/>
      <c r="Q36" s="6">
        <f>Q29</f>
        <v>987.5</v>
      </c>
      <c r="R36" s="6">
        <f>R29</f>
        <v>0</v>
      </c>
      <c r="S36" s="5"/>
      <c r="T36" s="6">
        <f>T29</f>
        <v>987.5</v>
      </c>
      <c r="U36" s="6">
        <f>U29</f>
        <v>0</v>
      </c>
      <c r="V36" s="5"/>
      <c r="W36" s="6">
        <f>W29</f>
        <v>987.5</v>
      </c>
      <c r="X36" s="6">
        <f>X29</f>
        <v>0</v>
      </c>
      <c r="Y36" s="5"/>
      <c r="Z36" s="6">
        <f>Z29</f>
        <v>0</v>
      </c>
      <c r="AA36" s="5"/>
      <c r="AB36" s="6">
        <f>AB29</f>
        <v>30</v>
      </c>
      <c r="AC36" s="6">
        <f>AC29</f>
        <v>20</v>
      </c>
      <c r="AD36" s="5"/>
      <c r="AE36" s="6">
        <f>AE29</f>
        <v>0</v>
      </c>
      <c r="AF36" s="5"/>
    </row>
    <row r="37" spans="1:35" x14ac:dyDescent="0.3">
      <c r="A37" s="1" t="s">
        <v>101</v>
      </c>
      <c r="B37" s="5"/>
      <c r="C37" s="6">
        <f>C16</f>
        <v>0</v>
      </c>
      <c r="D37" s="5"/>
      <c r="E37" s="6">
        <f>E16</f>
        <v>0</v>
      </c>
      <c r="F37" s="6">
        <f>F16</f>
        <v>746.25</v>
      </c>
      <c r="G37" s="5"/>
      <c r="H37" s="6">
        <f>H16</f>
        <v>0</v>
      </c>
      <c r="I37" s="6">
        <f>I16</f>
        <v>750</v>
      </c>
      <c r="J37" s="5"/>
      <c r="K37" s="6">
        <f>K16</f>
        <v>2347.5</v>
      </c>
      <c r="L37" s="6">
        <f>L16</f>
        <v>615</v>
      </c>
      <c r="M37" s="5"/>
      <c r="N37" s="6">
        <f>N16</f>
        <v>2962.5</v>
      </c>
      <c r="O37" s="6">
        <f>O16</f>
        <v>0</v>
      </c>
      <c r="P37" s="5"/>
      <c r="Q37" s="6">
        <f>Q16</f>
        <v>2962.5</v>
      </c>
      <c r="R37" s="6">
        <f>R16</f>
        <v>0</v>
      </c>
      <c r="S37" s="5"/>
      <c r="T37" s="6">
        <f>T16</f>
        <v>2962.5</v>
      </c>
      <c r="U37" s="6">
        <f>U16</f>
        <v>0</v>
      </c>
      <c r="V37" s="5"/>
      <c r="W37" s="6">
        <f>W16</f>
        <v>2962.5</v>
      </c>
      <c r="X37" s="6">
        <f>X16</f>
        <v>0</v>
      </c>
      <c r="Y37" s="5"/>
      <c r="Z37" s="6">
        <f>Z16</f>
        <v>2962.5</v>
      </c>
      <c r="AA37" s="5"/>
      <c r="AB37" s="6">
        <f>AB16</f>
        <v>90</v>
      </c>
      <c r="AC37" s="6">
        <f>AC16</f>
        <v>2872.5</v>
      </c>
      <c r="AD37" s="5"/>
      <c r="AE37" s="6">
        <f>AE16</f>
        <v>2962.5</v>
      </c>
      <c r="AF37" s="5"/>
    </row>
    <row r="38" spans="1:35" x14ac:dyDescent="0.3">
      <c r="A38" s="1" t="s">
        <v>102</v>
      </c>
      <c r="B38" s="5"/>
      <c r="C38" s="6">
        <f>C15-C29</f>
        <v>0</v>
      </c>
      <c r="D38" s="5"/>
      <c r="E38" s="6">
        <f>E15-E29</f>
        <v>0</v>
      </c>
      <c r="F38" s="6">
        <f>F15-F29</f>
        <v>241.25</v>
      </c>
      <c r="G38" s="5"/>
      <c r="H38" s="6">
        <f>H15-H29</f>
        <v>0</v>
      </c>
      <c r="I38" s="6">
        <f>I15-I29</f>
        <v>230</v>
      </c>
      <c r="J38" s="5"/>
      <c r="K38" s="6">
        <f>K15-K29</f>
        <v>0</v>
      </c>
      <c r="L38" s="6">
        <f>L15-L29</f>
        <v>185</v>
      </c>
      <c r="M38" s="5"/>
      <c r="N38" s="6">
        <f>N15-N29</f>
        <v>0</v>
      </c>
      <c r="O38" s="6">
        <f>O15-O29</f>
        <v>0</v>
      </c>
      <c r="P38" s="5"/>
      <c r="Q38" s="6">
        <f>Q15-Q29</f>
        <v>0</v>
      </c>
      <c r="R38" s="6">
        <f>R15-R29</f>
        <v>0</v>
      </c>
      <c r="S38" s="5"/>
      <c r="T38" s="6">
        <f>T15-T29</f>
        <v>0</v>
      </c>
      <c r="U38" s="6">
        <f>U15-U29</f>
        <v>0</v>
      </c>
      <c r="V38" s="5"/>
      <c r="W38" s="6">
        <f>W15-W29</f>
        <v>0</v>
      </c>
      <c r="X38" s="6">
        <f>X15-X29</f>
        <v>0</v>
      </c>
      <c r="Y38" s="5"/>
      <c r="Z38" s="6">
        <f>Z15-Z29</f>
        <v>987.5</v>
      </c>
      <c r="AA38" s="5"/>
      <c r="AB38" s="6">
        <f>AB15-AB29</f>
        <v>0</v>
      </c>
      <c r="AC38" s="6">
        <f>AC15-AC29</f>
        <v>937.5</v>
      </c>
      <c r="AD38" s="5"/>
      <c r="AE38" s="6">
        <f>AE15-AE29</f>
        <v>987.5</v>
      </c>
      <c r="AF38" s="5"/>
    </row>
    <row r="39" spans="1:35" x14ac:dyDescent="0.3">
      <c r="A39" s="1" t="s">
        <v>103</v>
      </c>
      <c r="B39" s="5"/>
      <c r="C39" s="6">
        <f>C22+C30</f>
        <v>0</v>
      </c>
      <c r="D39" s="5"/>
      <c r="E39" s="6">
        <f>E22+E30</f>
        <v>0</v>
      </c>
      <c r="F39" s="6">
        <f>F22+F30</f>
        <v>0</v>
      </c>
      <c r="G39" s="5"/>
      <c r="H39" s="6">
        <f>H22+H30</f>
        <v>0</v>
      </c>
      <c r="I39" s="6">
        <f>I22+I30</f>
        <v>0</v>
      </c>
      <c r="J39" s="5"/>
      <c r="K39" s="6">
        <f>K22+K30</f>
        <v>0</v>
      </c>
      <c r="L39" s="6">
        <f>L22+L30</f>
        <v>126</v>
      </c>
      <c r="M39" s="5"/>
      <c r="N39" s="6">
        <f>N22+N30</f>
        <v>541.5</v>
      </c>
      <c r="O39" s="6">
        <f>O22+O30</f>
        <v>730</v>
      </c>
      <c r="P39" s="5"/>
      <c r="Q39" s="6">
        <f>Q22+Q30</f>
        <v>669.5</v>
      </c>
      <c r="R39" s="6">
        <f>R22+R30</f>
        <v>3650.11</v>
      </c>
      <c r="S39" s="5"/>
      <c r="T39" s="6">
        <f>T22+T30</f>
        <v>5482.5</v>
      </c>
      <c r="U39" s="6">
        <f>U22+U30</f>
        <v>100</v>
      </c>
      <c r="V39" s="5"/>
      <c r="W39" s="6">
        <f>W22+W30</f>
        <v>5582.5</v>
      </c>
      <c r="X39" s="6">
        <f>X22+X30</f>
        <v>0</v>
      </c>
      <c r="Y39" s="5"/>
      <c r="Z39" s="6">
        <f>Z22+Z30</f>
        <v>4113.42</v>
      </c>
      <c r="AA39" s="5"/>
      <c r="AB39" s="6">
        <f>AB22+AB30</f>
        <v>0</v>
      </c>
      <c r="AC39" s="6">
        <f>AC22+AC30</f>
        <v>4113.42</v>
      </c>
      <c r="AD39" s="5"/>
      <c r="AE39" s="6">
        <f>AE22+AE30</f>
        <v>1099</v>
      </c>
      <c r="AF39" s="5"/>
    </row>
    <row r="40" spans="1:35" x14ac:dyDescent="0.3">
      <c r="A40" s="1" t="s">
        <v>104</v>
      </c>
      <c r="B40" s="5"/>
      <c r="C40" s="6">
        <f>C23</f>
        <v>0</v>
      </c>
      <c r="D40" s="5"/>
      <c r="E40" s="6">
        <f>E23</f>
        <v>0</v>
      </c>
      <c r="F40" s="6">
        <f>F23</f>
        <v>0</v>
      </c>
      <c r="G40" s="5"/>
      <c r="H40" s="6">
        <f>H23</f>
        <v>0</v>
      </c>
      <c r="I40" s="6">
        <f>I23</f>
        <v>0</v>
      </c>
      <c r="J40" s="5"/>
      <c r="K40" s="6">
        <f>K23</f>
        <v>0</v>
      </c>
      <c r="L40" s="6">
        <f>L23</f>
        <v>9</v>
      </c>
      <c r="M40" s="5"/>
      <c r="N40" s="6">
        <f>N23</f>
        <v>28.5</v>
      </c>
      <c r="O40" s="6">
        <f>O23</f>
        <v>50</v>
      </c>
      <c r="P40" s="5"/>
      <c r="Q40" s="6">
        <f>Q23</f>
        <v>35.24</v>
      </c>
      <c r="R40" s="6">
        <f>R23</f>
        <v>258.58</v>
      </c>
      <c r="S40" s="5"/>
      <c r="T40" s="6">
        <f>T23</f>
        <v>288.55</v>
      </c>
      <c r="U40" s="6">
        <f>U23</f>
        <v>5.26</v>
      </c>
      <c r="V40" s="5"/>
      <c r="W40" s="6">
        <f>W23</f>
        <v>293.82</v>
      </c>
      <c r="X40" s="6">
        <f>X23</f>
        <v>0</v>
      </c>
      <c r="Y40" s="5"/>
      <c r="Z40" s="6">
        <f>Z23</f>
        <v>293.82</v>
      </c>
      <c r="AA40" s="5"/>
      <c r="AB40" s="6">
        <f>AB23</f>
        <v>0</v>
      </c>
      <c r="AC40" s="6">
        <f>AC23</f>
        <v>293.82</v>
      </c>
      <c r="AD40" s="5"/>
      <c r="AE40" s="6">
        <f>AE23</f>
        <v>78.5</v>
      </c>
      <c r="AF40" s="5"/>
      <c r="AI40" s="18"/>
    </row>
    <row r="41" spans="1:35" x14ac:dyDescent="0.3">
      <c r="A41" s="1" t="s">
        <v>105</v>
      </c>
      <c r="B41" s="5"/>
      <c r="C41" s="6">
        <f>IF(C9+C33+C36+C30+C22&lt;7050,C21-C30+C24,C21-C30)</f>
        <v>0</v>
      </c>
      <c r="D41" s="5"/>
      <c r="E41" s="6">
        <f>IF(E9+E33+E36+E30+E22&lt;7050,E21-E30+E24,E21-E30)</f>
        <v>0</v>
      </c>
      <c r="F41" s="6">
        <f>IF(F9+F33+F36+F30+F22&lt;7050,F21-F30+F24,F21-F30)</f>
        <v>0</v>
      </c>
      <c r="G41" s="5"/>
      <c r="H41" s="6">
        <f>IF(H9+H33+H36+H30+H22&lt;7050,H21-H30+H24,H21-H30)</f>
        <v>0</v>
      </c>
      <c r="I41" s="6">
        <f>IF(I9+I33+I36+I30+I22&lt;7050,I21-I30+I24,I21-I30)</f>
        <v>0</v>
      </c>
      <c r="J41" s="5"/>
      <c r="K41" s="6">
        <f>IF(K9+K33+K36+K30+K22&lt;7050,K21-K30+K24,K21-K30)</f>
        <v>0</v>
      </c>
      <c r="L41" s="6">
        <f>IF(L9+L33+L36+L30+L22&lt;7050,L21-L30+L24,L21-L30)</f>
        <v>45</v>
      </c>
      <c r="M41" s="5"/>
      <c r="N41" s="6">
        <f>IF(N9+N33+N36+N30+N22&lt;7050,N21-N30+N24,N21-N30)</f>
        <v>0</v>
      </c>
      <c r="O41" s="6">
        <f>IF(O9+O33+O36+O30+O22&lt;7050,O21-O30+O24,O21-O30)</f>
        <v>220</v>
      </c>
      <c r="P41" s="5"/>
      <c r="Q41" s="6">
        <f>IF(Q9+Q33+Q36+Q30+Q22&lt;7050,Q21-Q30+Q24,Q21-Q30)</f>
        <v>0</v>
      </c>
      <c r="R41" s="6">
        <f>IF(R9+R33+R36+R30+R22&lt;7050,R21-R30+R24,R21-R30)</f>
        <v>2091.31</v>
      </c>
      <c r="S41" s="5"/>
      <c r="T41" s="6">
        <f>IF(T9+T33+T36+T30+T22&lt;7050,T21-T30+T24,T21-T30)</f>
        <v>0</v>
      </c>
      <c r="U41" s="6">
        <f>IF(U9+U33+U36+U30+U22&lt;7049.99,U21-U30+U24,U21-U30)</f>
        <v>0</v>
      </c>
      <c r="V41" s="5"/>
      <c r="W41" s="6">
        <f>IF(W9+W33+W36+W30+W22&lt;7050,W21-W30+W24,W21-W30)</f>
        <v>0</v>
      </c>
      <c r="X41" s="6">
        <f>IF(X9+X33+X36+X30+X22&lt;7050,X21-X30+X24,X21-X30)</f>
        <v>0</v>
      </c>
      <c r="Y41" s="5"/>
      <c r="Z41" s="6">
        <f>IF(Z9+Z33+Z36+Z30+Z22&lt;7050,Z21-Z30+Z24,Z21-Z30)</f>
        <v>3162.76</v>
      </c>
      <c r="AA41" s="5"/>
      <c r="AB41" s="6">
        <f>IF(AB9+AB33+AB36+AB30+AB22&lt;7050,AB21-AB30+AB24,AB21-AB30)</f>
        <v>0</v>
      </c>
      <c r="AC41" s="6">
        <f>IF(AC9+AC33+AC36+AC30+AC22&lt;7050,AC21-AC30+AC24,AC21-AC30)</f>
        <v>1995.97</v>
      </c>
      <c r="AD41" s="5"/>
      <c r="AE41" s="6">
        <f>IF(AE9+AE33+AE36+AE30+AE22&lt;7050,AE21-AE30+AE24,AE21-AE30)</f>
        <v>392.5</v>
      </c>
      <c r="AF41" s="5"/>
    </row>
    <row r="42" spans="1:35" x14ac:dyDescent="0.3">
      <c r="A42" s="1" t="s">
        <v>106</v>
      </c>
      <c r="B42" s="5"/>
      <c r="C42" s="6">
        <f>IF(C9+C33+C36+C39&lt;7050,0,C31)</f>
        <v>0</v>
      </c>
      <c r="D42" s="5"/>
      <c r="E42" s="6">
        <f>IF(E9+E33+E36+E39&lt;7050,0,E31)</f>
        <v>0</v>
      </c>
      <c r="F42" s="6">
        <f>IF(F9+F33+F36+F39&lt;7050,0,F31)</f>
        <v>0</v>
      </c>
      <c r="G42" s="5"/>
      <c r="H42" s="6">
        <f>IF(H9+H33+H36+H39&lt;7050,0,H31)</f>
        <v>0</v>
      </c>
      <c r="I42" s="6">
        <f>IF(I9+I33+I36+I39&lt;7050,0,I31)</f>
        <v>0</v>
      </c>
      <c r="J42" s="5"/>
      <c r="K42" s="6">
        <f>IF(K9+K33+K36+K39&lt;7050,0,K31)</f>
        <v>0</v>
      </c>
      <c r="L42" s="6">
        <f>IF(L9+L33+L36+L39&lt;7050,0,L31)</f>
        <v>0</v>
      </c>
      <c r="M42" s="5"/>
      <c r="N42" s="6">
        <f>IF(N9+N33+N36+N39&lt;7050,0,N31)</f>
        <v>0</v>
      </c>
      <c r="O42" s="6">
        <f>IF(O9+O33+O36+O39&lt;7050,0,O31)</f>
        <v>0</v>
      </c>
      <c r="P42" s="5"/>
      <c r="Q42" s="6">
        <f>IF(Q9+Q33+Q36+Q39&lt;7050,0,Q31)</f>
        <v>0</v>
      </c>
      <c r="R42" s="6">
        <f>IF(R9+R33+R36+R39&lt;7050,0,R31)</f>
        <v>0</v>
      </c>
      <c r="S42" s="5"/>
      <c r="T42" s="6">
        <f>IF(T9+T33+T36+T39&lt;7050,0,T31)</f>
        <v>0</v>
      </c>
      <c r="U42" s="6">
        <f>IF(U9+U33+U36+U39&lt;7050,0,U31)</f>
        <v>0</v>
      </c>
      <c r="V42" s="5"/>
      <c r="W42" s="6">
        <f>IF(W9+W33+W36+W39&lt;7050,0,W31)</f>
        <v>84.68</v>
      </c>
      <c r="X42" s="6">
        <f>IF(X9+X33+X36+X39&lt;7050,0,X31)</f>
        <v>5</v>
      </c>
      <c r="Y42" s="5"/>
      <c r="Z42" s="6">
        <f>IF(Z9+Z33+Z36+Z39&lt;7050,0,Z31)</f>
        <v>0</v>
      </c>
      <c r="AA42" s="5"/>
      <c r="AB42" s="6">
        <f>IF(AB9+AB33+AB36+AB39&lt;7050,0,AB31)</f>
        <v>0</v>
      </c>
      <c r="AC42" s="6">
        <f>IF(AC9+AC33+AC36+AC39&lt;7050,0,AC31)</f>
        <v>0</v>
      </c>
      <c r="AD42" s="5"/>
      <c r="AE42" s="6">
        <f>IF(AE9+AE33+AE36+AE39&lt;7050,0,AE31)</f>
        <v>0</v>
      </c>
      <c r="AF42" s="5"/>
    </row>
    <row r="43" spans="1:35" x14ac:dyDescent="0.3">
      <c r="A43" s="1" t="s">
        <v>107</v>
      </c>
      <c r="B43" s="5"/>
      <c r="C43" s="6">
        <f>IF(C9+C33+C36+C39&lt;7050,0,C26)</f>
        <v>0</v>
      </c>
      <c r="D43" s="5"/>
      <c r="E43" s="6">
        <f>IF(E9+E33+E36+E39&lt;7050,0,E26)</f>
        <v>0</v>
      </c>
      <c r="F43" s="6">
        <f>IF(F9+F33+F36+F39&lt;7050,0,F26)</f>
        <v>0</v>
      </c>
      <c r="G43" s="5"/>
      <c r="H43" s="6">
        <f>IF(H9+H33+H36+H39&lt;7050,0,H26)</f>
        <v>0</v>
      </c>
      <c r="I43" s="6">
        <f>IF(I9+I33+I36+I39&lt;7050,0,I26)</f>
        <v>0</v>
      </c>
      <c r="J43" s="5"/>
      <c r="K43" s="6">
        <f>IF(K9+K33+K36+K39&lt;7050,0,K26)</f>
        <v>0</v>
      </c>
      <c r="L43" s="6">
        <f>IF(L9+L33+L36+L39&lt;7050,0,L26)</f>
        <v>0</v>
      </c>
      <c r="M43" s="5"/>
      <c r="N43" s="6">
        <f>IF(N9+N33+N36+N39&lt;7050,0,N26)</f>
        <v>0</v>
      </c>
      <c r="O43" s="6">
        <f>IF(O9+O33+O36+O39&lt;7050,0,O26)</f>
        <v>0</v>
      </c>
      <c r="P43" s="5"/>
      <c r="Q43" s="6">
        <f>IF(Q9+Q33+Q36+Q39&lt;7050,0,Q26)</f>
        <v>0</v>
      </c>
      <c r="R43" s="6">
        <f>IF(R9+R33+R36+R39&lt;7050,0,R26)</f>
        <v>0</v>
      </c>
      <c r="S43" s="5"/>
      <c r="T43" s="6">
        <f>IF(T9+T33+T36+T39&lt;7050,0,T26)</f>
        <v>0</v>
      </c>
      <c r="U43" s="6">
        <f>IF(U9+U33+U36+U39&lt;7050,0,U26)</f>
        <v>850</v>
      </c>
      <c r="V43" s="5"/>
      <c r="W43" s="6">
        <f>IF(W9+W33+W36+W39&lt;7050,0,W26)</f>
        <v>1609</v>
      </c>
      <c r="X43" s="6">
        <f>IF(X9+X33+X36+X39&lt;7050,0,X26)</f>
        <v>950</v>
      </c>
      <c r="Y43" s="5"/>
      <c r="Z43" s="6">
        <f>IF(Z9+Z33+Z36+Z39&lt;7050,0,Z26)</f>
        <v>0</v>
      </c>
      <c r="AA43" s="5"/>
      <c r="AB43" s="6">
        <f>IF(AB9+AB33+AB36+AB39&lt;7050,0,AB26)</f>
        <v>0</v>
      </c>
      <c r="AC43" s="6">
        <f>IF(AC9+AC33+AC36+AC39&lt;7050,0,AC26)</f>
        <v>0</v>
      </c>
      <c r="AD43" s="5"/>
      <c r="AE43" s="6">
        <f>IF(AE9+AE33+AE36+AE39&lt;7050,0,AE26)</f>
        <v>0</v>
      </c>
      <c r="AF43" s="5"/>
    </row>
    <row r="44" spans="1:35" x14ac:dyDescent="0.3">
      <c r="A44" s="1" t="s">
        <v>108</v>
      </c>
      <c r="B44" s="5"/>
      <c r="C44" s="6">
        <f>IF(C9+C33+C36+C39&lt;7050,0,C25-C31)</f>
        <v>0</v>
      </c>
      <c r="D44" s="5"/>
      <c r="E44" s="6">
        <f>IF(E9+E33+E36+E39&lt;7050,0,E25-E31)</f>
        <v>0</v>
      </c>
      <c r="F44" s="6">
        <f>IF(F9+F33+F36+F39&lt;7050,0,F25-F31)</f>
        <v>0</v>
      </c>
      <c r="G44" s="5"/>
      <c r="H44" s="6">
        <f>IF(H9+H33+H36+H39&lt;7050,0,H25-H31)</f>
        <v>0</v>
      </c>
      <c r="I44" s="6">
        <f>IF(I9+I33+I36+I39&lt;7050,0,I25-I31)</f>
        <v>0</v>
      </c>
      <c r="J44" s="5"/>
      <c r="K44" s="6">
        <f>IF(K9+K33+K36+K39&lt;7050,0,K25-K31)</f>
        <v>0</v>
      </c>
      <c r="L44" s="6">
        <f>IF(L9+L33+L36+L39&lt;7050,0,L25-L31)</f>
        <v>0</v>
      </c>
      <c r="M44" s="5"/>
      <c r="N44" s="6">
        <f>IF(N9+N33+N36+N39&lt;7050,0,N25-N31)</f>
        <v>0</v>
      </c>
      <c r="O44" s="6">
        <f>IF(O9+O33+O36+O39&lt;7050,0,O25-O31)</f>
        <v>0</v>
      </c>
      <c r="P44" s="5"/>
      <c r="Q44" s="6">
        <f>IF(Q9+Q33+Q36+Q39&lt;7050,0,Q25-Q31)</f>
        <v>0</v>
      </c>
      <c r="R44" s="6">
        <f>IF(R9+R33+R36+R39&lt;7050,0,R25-R31)</f>
        <v>0</v>
      </c>
      <c r="S44" s="5"/>
      <c r="T44" s="6">
        <f>IF(T9+T33+T36+T39&lt;7050,0,T25-T31)</f>
        <v>0</v>
      </c>
      <c r="U44" s="6">
        <f>(IF(U9+U33+U36+U39&lt;7050,0,U25-U31))</f>
        <v>44.74</v>
      </c>
      <c r="V44" s="5"/>
      <c r="W44" s="6">
        <f>IF(W9+W33+W36+W39&lt;7050,0,W25-W31)</f>
        <v>0</v>
      </c>
      <c r="X44" s="6">
        <f>IF(X9+X33+X36+X39&lt;7050,0,X25-X31)</f>
        <v>45</v>
      </c>
      <c r="Y44" s="5"/>
      <c r="Z44" s="6">
        <f>IF(Z9+Z33+Z36+Z39&lt;7050,0,Z25-Z31)</f>
        <v>0</v>
      </c>
      <c r="AA44" s="5"/>
      <c r="AB44" s="6">
        <f>IF(AB9+AB33+AB36+AB39&lt;7050,0,AB25-AB31)</f>
        <v>0</v>
      </c>
      <c r="AC44" s="6">
        <f>IF(AC9+AC33+AC36+AC39&lt;7050,0,AC25-AC31)</f>
        <v>0</v>
      </c>
      <c r="AD44" s="5"/>
      <c r="AE44" s="6">
        <f>IF(AE9+AE33+AE36+AE39&lt;7050,0,AE25-AE31)</f>
        <v>0</v>
      </c>
      <c r="AF44" s="5"/>
    </row>
    <row r="45" spans="1:35" x14ac:dyDescent="0.3">
      <c r="A45" s="39" t="s">
        <v>3</v>
      </c>
      <c r="B45" s="5"/>
      <c r="C45" s="10"/>
      <c r="D45" s="5"/>
      <c r="E45" s="10"/>
      <c r="F45" s="10"/>
      <c r="G45" s="5"/>
      <c r="H45" s="10"/>
      <c r="I45" s="10"/>
      <c r="J45" s="5"/>
      <c r="K45" s="10"/>
      <c r="L45" s="10"/>
      <c r="M45" s="5"/>
      <c r="N45" s="10"/>
      <c r="O45" s="10"/>
      <c r="P45" s="5"/>
      <c r="Q45" s="10"/>
      <c r="R45" s="10"/>
      <c r="S45" s="5"/>
      <c r="T45" s="10"/>
      <c r="U45" s="10"/>
      <c r="V45" s="5"/>
      <c r="W45" s="10"/>
      <c r="X45" s="10"/>
      <c r="Y45" s="5"/>
      <c r="Z45" s="10"/>
      <c r="AA45" s="5"/>
      <c r="AB45" s="10"/>
      <c r="AC45" s="10"/>
      <c r="AD45" s="5"/>
      <c r="AE45" s="10"/>
      <c r="AF45" s="5"/>
    </row>
    <row r="46" spans="1:35" x14ac:dyDescent="0.3">
      <c r="A46" s="43" t="s">
        <v>33</v>
      </c>
      <c r="B46" s="5"/>
      <c r="C46" s="9">
        <f>C33+C36+C39</f>
        <v>50</v>
      </c>
      <c r="D46" s="5"/>
      <c r="E46" s="9">
        <f>E33+E36+E39</f>
        <v>475</v>
      </c>
      <c r="F46" s="9">
        <f>F33+F36+F39</f>
        <v>10</v>
      </c>
      <c r="G46" s="5"/>
      <c r="H46" s="9">
        <f>H33+H36+H39</f>
        <v>480</v>
      </c>
      <c r="I46" s="9">
        <f>I33+I36+I39</f>
        <v>20</v>
      </c>
      <c r="J46" s="5"/>
      <c r="K46" s="9">
        <f>K33+K36+K39</f>
        <v>1262.5</v>
      </c>
      <c r="L46" s="9">
        <f>L33+L36+L39</f>
        <v>146</v>
      </c>
      <c r="M46" s="5"/>
      <c r="N46" s="9">
        <f>N33+N36+N39</f>
        <v>2009</v>
      </c>
      <c r="O46" s="9">
        <f>O33+O36+O39</f>
        <v>730</v>
      </c>
      <c r="P46" s="5"/>
      <c r="Q46" s="9">
        <f>Q33+Q36+Q39</f>
        <v>2137</v>
      </c>
      <c r="R46" s="9">
        <f>R33+R36+R39</f>
        <v>3650.11</v>
      </c>
      <c r="S46" s="5"/>
      <c r="T46" s="9">
        <f>T33+T36+T39</f>
        <v>6950</v>
      </c>
      <c r="U46" s="9">
        <f>U33+U36+U39</f>
        <v>100</v>
      </c>
      <c r="V46" s="5"/>
      <c r="W46" s="9">
        <f>W33+W36+W39</f>
        <v>7050</v>
      </c>
      <c r="X46" s="9">
        <f>X33+X36+X39</f>
        <v>0</v>
      </c>
      <c r="Y46" s="5"/>
      <c r="Z46" s="9">
        <f>Z33+Z36+Z39</f>
        <v>4123.42</v>
      </c>
      <c r="AA46" s="5"/>
      <c r="AB46" s="9">
        <f>AB33+AB36+AB39</f>
        <v>510</v>
      </c>
      <c r="AC46" s="9">
        <f>AC33+AC36+AC39</f>
        <v>4133.42</v>
      </c>
      <c r="AD46" s="5"/>
      <c r="AE46" s="9">
        <f>AE33+AE36+AE39</f>
        <v>1109</v>
      </c>
      <c r="AF46" s="5"/>
    </row>
    <row r="47" spans="1:35" x14ac:dyDescent="0.3">
      <c r="A47" s="43" t="s">
        <v>2</v>
      </c>
      <c r="B47" s="5"/>
      <c r="C47" s="9">
        <f>SUM(C28:C31)</f>
        <v>50</v>
      </c>
      <c r="D47" s="5"/>
      <c r="E47" s="9">
        <f>SUM(E28:E31)</f>
        <v>475</v>
      </c>
      <c r="F47" s="9">
        <f>SUM(F28:F31)</f>
        <v>10</v>
      </c>
      <c r="G47" s="5"/>
      <c r="H47" s="9">
        <f>SUM(H28:H31)</f>
        <v>480</v>
      </c>
      <c r="I47" s="9">
        <f>SUM(I28:I31)</f>
        <v>20</v>
      </c>
      <c r="J47" s="5"/>
      <c r="K47" s="9">
        <f>SUM(K28:K31)</f>
        <v>1262.5</v>
      </c>
      <c r="L47" s="9">
        <f>SUM(L28:L31)</f>
        <v>20</v>
      </c>
      <c r="M47" s="5"/>
      <c r="N47" s="9">
        <f>SUM(N28:N31)</f>
        <v>1610</v>
      </c>
      <c r="O47" s="9">
        <f>SUM(O28:O31)</f>
        <v>30</v>
      </c>
      <c r="P47" s="5"/>
      <c r="Q47" s="9">
        <f>SUM(Q28:Q31)</f>
        <v>1643.68</v>
      </c>
      <c r="R47" s="9">
        <f>SUM(R28:R31)</f>
        <v>30</v>
      </c>
      <c r="S47" s="5"/>
      <c r="T47" s="9">
        <f>SUM(T28:T31)</f>
        <v>2910.26</v>
      </c>
      <c r="U47" s="9">
        <f>SUM(U28:U31)</f>
        <v>26.32</v>
      </c>
      <c r="V47" s="5"/>
      <c r="W47" s="9">
        <f>SUM(W28:W31)</f>
        <v>3021.26</v>
      </c>
      <c r="X47" s="9">
        <f>SUM(X28:X31)</f>
        <v>5</v>
      </c>
      <c r="Y47" s="5"/>
      <c r="Z47" s="9">
        <f>SUM(Z28:Z31)</f>
        <v>10</v>
      </c>
      <c r="AA47" s="5"/>
      <c r="AB47" s="9">
        <f>SUM(AB28:AB31)</f>
        <v>510</v>
      </c>
      <c r="AC47" s="9">
        <f>SUM(AC28:AC31)</f>
        <v>20</v>
      </c>
      <c r="AD47" s="5"/>
      <c r="AE47" s="9">
        <f>SUM(AE28:AE31)</f>
        <v>10</v>
      </c>
      <c r="AF47" s="5"/>
    </row>
    <row r="48" spans="1:35" x14ac:dyDescent="0.3">
      <c r="A48" s="44" t="s">
        <v>11</v>
      </c>
      <c r="B48" s="5"/>
      <c r="C48" s="6">
        <f>C22</f>
        <v>0</v>
      </c>
      <c r="D48" s="5"/>
      <c r="E48" s="6">
        <f>E22</f>
        <v>0</v>
      </c>
      <c r="F48" s="6">
        <f>F22</f>
        <v>0</v>
      </c>
      <c r="G48" s="5"/>
      <c r="H48" s="6">
        <f>H22</f>
        <v>0</v>
      </c>
      <c r="I48" s="6">
        <f>I22</f>
        <v>0</v>
      </c>
      <c r="J48" s="5"/>
      <c r="K48" s="6">
        <f>K22</f>
        <v>0</v>
      </c>
      <c r="L48" s="6">
        <f>L22</f>
        <v>126</v>
      </c>
      <c r="M48" s="5"/>
      <c r="N48" s="6">
        <f>N22</f>
        <v>399</v>
      </c>
      <c r="O48" s="6">
        <f>O22</f>
        <v>700</v>
      </c>
      <c r="P48" s="5"/>
      <c r="Q48" s="6">
        <f>Q22</f>
        <v>493.32</v>
      </c>
      <c r="R48" s="6">
        <f>R22</f>
        <v>3620.11</v>
      </c>
      <c r="S48" s="5"/>
      <c r="T48" s="6">
        <f>T22</f>
        <v>4039.74</v>
      </c>
      <c r="U48" s="6">
        <f>U22</f>
        <v>73.680000000000007</v>
      </c>
      <c r="V48" s="5"/>
      <c r="W48" s="6">
        <f>W22</f>
        <v>4113.42</v>
      </c>
      <c r="X48" s="6">
        <f>X22</f>
        <v>0</v>
      </c>
      <c r="Y48" s="5"/>
      <c r="Z48" s="6">
        <f>Z22</f>
        <v>4113.42</v>
      </c>
      <c r="AA48" s="5"/>
      <c r="AB48" s="6">
        <f>AB22</f>
        <v>0</v>
      </c>
      <c r="AC48" s="6">
        <f>AC22</f>
        <v>4113.42</v>
      </c>
      <c r="AD48" s="5"/>
      <c r="AE48" s="6">
        <f>AE22</f>
        <v>1099</v>
      </c>
      <c r="AF48" s="5"/>
    </row>
    <row r="49" spans="1:32" x14ac:dyDescent="0.3">
      <c r="A49" s="43" t="s">
        <v>5</v>
      </c>
      <c r="B49" s="5"/>
      <c r="C49" s="9">
        <f>C34+C37+C40+C43</f>
        <v>0</v>
      </c>
      <c r="D49" s="5"/>
      <c r="E49" s="9">
        <f>E34+E37+E40+E43</f>
        <v>0</v>
      </c>
      <c r="F49" s="9">
        <f>F34+F37+F40+F43</f>
        <v>746.25</v>
      </c>
      <c r="G49" s="5"/>
      <c r="H49" s="9">
        <f>H34+H37+H40+H43</f>
        <v>0</v>
      </c>
      <c r="I49" s="9">
        <f>I34+I37+I40+I43</f>
        <v>750</v>
      </c>
      <c r="J49" s="5"/>
      <c r="K49" s="9">
        <f>K34+K37+K40+K43</f>
        <v>2347.5</v>
      </c>
      <c r="L49" s="9">
        <f>L34+L37+L40+L43</f>
        <v>624</v>
      </c>
      <c r="M49" s="5"/>
      <c r="N49" s="9">
        <f>N34+N37+N40+N43</f>
        <v>2991</v>
      </c>
      <c r="O49" s="9">
        <f>O34+O37+O40+O43</f>
        <v>50</v>
      </c>
      <c r="P49" s="5"/>
      <c r="Q49" s="9">
        <f>Q34+Q37+Q40+Q43</f>
        <v>2997.74</v>
      </c>
      <c r="R49" s="9">
        <f>R34+R37+R40+R43</f>
        <v>258.58</v>
      </c>
      <c r="S49" s="5"/>
      <c r="T49" s="9">
        <f>T34+T37+T40+T43</f>
        <v>3251.05</v>
      </c>
      <c r="U49" s="9">
        <f>U34+U37+U40+U43</f>
        <v>855.26</v>
      </c>
      <c r="V49" s="5"/>
      <c r="W49" s="9">
        <f>W34+W37+W40+W43</f>
        <v>4865.32</v>
      </c>
      <c r="X49" s="9">
        <f>X34+X37+X40+X43</f>
        <v>950</v>
      </c>
      <c r="Y49" s="5"/>
      <c r="Z49" s="9">
        <f>Z34+Z37+Z40+Z43</f>
        <v>3256.32</v>
      </c>
      <c r="AA49" s="5"/>
      <c r="AB49" s="9">
        <f>AB34+AB37+AB40+AB43</f>
        <v>90</v>
      </c>
      <c r="AC49" s="9">
        <f>AC34+AC37+AC40+AC43</f>
        <v>3166.32</v>
      </c>
      <c r="AD49" s="5"/>
      <c r="AE49" s="9">
        <f>AE34+AE37+AE40+AE43</f>
        <v>3041</v>
      </c>
      <c r="AF49" s="5"/>
    </row>
    <row r="50" spans="1:32" x14ac:dyDescent="0.3">
      <c r="A50" s="43" t="s">
        <v>7</v>
      </c>
      <c r="B50" s="5"/>
      <c r="C50" s="12">
        <f>C35+C38+C41+C44</f>
        <v>495</v>
      </c>
      <c r="D50" s="5"/>
      <c r="E50" s="12">
        <f>E35+E38+E41+E44</f>
        <v>0</v>
      </c>
      <c r="F50" s="12">
        <f>F35+F38+F41+F44</f>
        <v>243.75</v>
      </c>
      <c r="G50" s="5"/>
      <c r="H50" s="12">
        <f>H35+H38+H41+H44</f>
        <v>0</v>
      </c>
      <c r="I50" s="12">
        <f>I35+I38+I41+I44</f>
        <v>230</v>
      </c>
      <c r="J50" s="5"/>
      <c r="K50" s="12">
        <f>K35+K38+K41+K44</f>
        <v>0</v>
      </c>
      <c r="L50" s="12">
        <f>L35+L38+L41+L44</f>
        <v>230</v>
      </c>
      <c r="M50" s="5"/>
      <c r="N50" s="12">
        <f>N35+N38+N41+N44</f>
        <v>0</v>
      </c>
      <c r="O50" s="12">
        <f>O35+O38+O41+O44</f>
        <v>220</v>
      </c>
      <c r="P50" s="5"/>
      <c r="Q50" s="12">
        <f>Q35+Q38+Q41+Q44</f>
        <v>0</v>
      </c>
      <c r="R50" s="12">
        <f>R35+R38+R41+R44</f>
        <v>2091.31</v>
      </c>
      <c r="S50" s="5"/>
      <c r="T50" s="12">
        <f>T35+T38+T41+T44</f>
        <v>0</v>
      </c>
      <c r="U50" s="12">
        <f>U35+U38+U41+U44</f>
        <v>44.74</v>
      </c>
      <c r="V50" s="5"/>
      <c r="W50" s="12">
        <f>W35+W38+W41+W44</f>
        <v>0</v>
      </c>
      <c r="X50" s="12">
        <f>X35+X38+X41+X44</f>
        <v>45</v>
      </c>
      <c r="Y50" s="5"/>
      <c r="Z50" s="12">
        <f>Z35+Z38+Z41+Z44</f>
        <v>4620.26</v>
      </c>
      <c r="AA50" s="5"/>
      <c r="AB50" s="12">
        <f>AB35+AB38+AB41+AB44</f>
        <v>0</v>
      </c>
      <c r="AC50" s="12">
        <f>AC35+AC38+AC41+AC44</f>
        <v>2933.47</v>
      </c>
      <c r="AD50" s="5"/>
      <c r="AE50" s="12">
        <f>AE35+AE38+AE41+AE44</f>
        <v>1850</v>
      </c>
      <c r="AF50" s="5"/>
    </row>
    <row r="51" spans="1:32" x14ac:dyDescent="0.3">
      <c r="A51" s="43"/>
      <c r="B51" s="5"/>
      <c r="C51" s="12"/>
      <c r="D51" s="5"/>
      <c r="E51" s="12"/>
      <c r="F51" s="12"/>
      <c r="G51" s="5"/>
      <c r="H51" s="12"/>
      <c r="I51" s="12"/>
      <c r="J51" s="5"/>
      <c r="K51" s="12"/>
      <c r="L51" s="12"/>
      <c r="M51" s="5"/>
      <c r="N51" s="12"/>
      <c r="O51" s="12"/>
      <c r="P51" s="5"/>
      <c r="Q51" s="12"/>
      <c r="R51" s="12"/>
      <c r="S51" s="5"/>
      <c r="T51" s="12"/>
      <c r="U51" s="12"/>
      <c r="V51" s="5"/>
      <c r="W51" s="12"/>
      <c r="X51" s="12"/>
      <c r="Y51" s="5"/>
      <c r="Z51" s="12"/>
      <c r="AA51" s="5"/>
      <c r="AB51" s="12"/>
      <c r="AC51" s="12"/>
      <c r="AD51" s="5"/>
      <c r="AE51" s="12"/>
      <c r="AF51" s="5"/>
    </row>
    <row r="52" spans="1:32" x14ac:dyDescent="0.3">
      <c r="A52" s="45" t="s">
        <v>4</v>
      </c>
      <c r="B52" s="5"/>
      <c r="C52" s="13">
        <f>SUM(C47:C50)</f>
        <v>545</v>
      </c>
      <c r="D52" s="5"/>
      <c r="E52" s="13">
        <f>SUM(E47:E50)</f>
        <v>475</v>
      </c>
      <c r="F52" s="13">
        <f>SUM(F47:F50)</f>
        <v>1000</v>
      </c>
      <c r="G52" s="5"/>
      <c r="H52" s="13">
        <f>SUM(H47:H50)</f>
        <v>480</v>
      </c>
      <c r="I52" s="13">
        <f>SUM(I47:I50)</f>
        <v>1000</v>
      </c>
      <c r="J52" s="5"/>
      <c r="K52" s="13">
        <f>SUM(K47:K50)</f>
        <v>3610</v>
      </c>
      <c r="L52" s="13">
        <f>SUM(L47:L50)</f>
        <v>1000</v>
      </c>
      <c r="M52" s="5"/>
      <c r="N52" s="13">
        <f>SUM(N47:N50)</f>
        <v>5000</v>
      </c>
      <c r="O52" s="13">
        <f>SUM(O47:O50)</f>
        <v>1000</v>
      </c>
      <c r="P52" s="5"/>
      <c r="Q52" s="13">
        <f>SUM(Q47:Q50)</f>
        <v>5134.74</v>
      </c>
      <c r="R52" s="13">
        <f>SUM(R47:R50)</f>
        <v>6000</v>
      </c>
      <c r="S52" s="5"/>
      <c r="T52" s="13">
        <f>SUM(T47:T50)</f>
        <v>10201.049999999999</v>
      </c>
      <c r="U52" s="13">
        <f>SUM(U47:U50)</f>
        <v>1000</v>
      </c>
      <c r="V52" s="5"/>
      <c r="W52" s="13">
        <f>SUM(W47:W50)</f>
        <v>12000</v>
      </c>
      <c r="X52" s="13">
        <f>SUM(X47:X50)</f>
        <v>1000</v>
      </c>
      <c r="Y52" s="5"/>
      <c r="Z52" s="13">
        <f>SUM(Z47:Z50)</f>
        <v>12000</v>
      </c>
      <c r="AA52" s="5"/>
      <c r="AB52" s="13">
        <f>SUM(AB47:AB50)</f>
        <v>600</v>
      </c>
      <c r="AC52" s="13">
        <f>SUM(AC47:AC50)</f>
        <v>10233.209999999999</v>
      </c>
      <c r="AD52" s="5"/>
      <c r="AE52" s="13">
        <f>SUM(AE47:AE50)</f>
        <v>6000</v>
      </c>
      <c r="AF52" s="5"/>
    </row>
    <row r="53" spans="1:32" x14ac:dyDescent="0.3">
      <c r="A53" s="14"/>
      <c r="B53" s="15"/>
      <c r="C53" s="16"/>
      <c r="D53" s="15"/>
      <c r="E53" s="16"/>
      <c r="F53" s="16"/>
      <c r="G53" s="15"/>
      <c r="H53" s="16"/>
      <c r="I53" s="16"/>
      <c r="J53" s="15"/>
      <c r="K53" s="16"/>
      <c r="L53" s="16"/>
      <c r="M53" s="15"/>
      <c r="N53" s="16"/>
      <c r="O53" s="16"/>
      <c r="P53" s="15"/>
      <c r="Q53" s="16"/>
      <c r="R53" s="16"/>
      <c r="S53" s="15"/>
      <c r="T53" s="16"/>
      <c r="U53" s="16"/>
      <c r="V53" s="15"/>
      <c r="W53" s="16"/>
      <c r="X53" s="16"/>
      <c r="Y53" s="15"/>
      <c r="Z53" s="16"/>
      <c r="AA53" s="15"/>
      <c r="AB53" s="16"/>
      <c r="AC53" s="16"/>
      <c r="AD53" s="15"/>
      <c r="AE53" s="16"/>
      <c r="AF53" s="15"/>
    </row>
    <row r="54" spans="1:32" x14ac:dyDescent="0.3">
      <c r="A54" s="22" t="s">
        <v>37</v>
      </c>
      <c r="B54" s="15"/>
      <c r="C54" s="16"/>
      <c r="D54" s="15"/>
      <c r="E54" s="16"/>
      <c r="F54" s="16"/>
      <c r="G54" s="15"/>
      <c r="H54" s="16"/>
      <c r="I54" s="16"/>
      <c r="J54" s="15"/>
      <c r="K54" s="16"/>
      <c r="L54" s="16"/>
      <c r="M54" s="15"/>
      <c r="N54" s="16"/>
      <c r="O54" s="16"/>
      <c r="P54" s="15"/>
      <c r="Q54" s="16"/>
      <c r="R54" s="16"/>
      <c r="S54" s="15"/>
      <c r="T54" s="16"/>
      <c r="U54" s="16"/>
      <c r="V54" s="15"/>
      <c r="W54" s="16"/>
      <c r="X54" s="16"/>
      <c r="Y54" s="15"/>
      <c r="Z54" s="16"/>
      <c r="AA54" s="15"/>
      <c r="AB54" s="16"/>
      <c r="AC54" s="16"/>
      <c r="AD54" s="15"/>
      <c r="AE54" s="16"/>
      <c r="AF54" s="15"/>
    </row>
    <row r="55" spans="1:32" x14ac:dyDescent="0.3">
      <c r="A55" s="23" t="s">
        <v>38</v>
      </c>
      <c r="B55" s="15"/>
      <c r="C55" s="16"/>
      <c r="D55" s="15"/>
      <c r="E55" s="16"/>
      <c r="F55" s="16"/>
      <c r="G55" s="15"/>
      <c r="H55" s="16"/>
      <c r="I55" s="16"/>
      <c r="J55" s="15"/>
      <c r="K55" s="16"/>
      <c r="L55" s="16"/>
      <c r="M55" s="15"/>
      <c r="N55" s="16"/>
      <c r="O55" s="16"/>
      <c r="P55" s="15"/>
      <c r="Q55" s="16"/>
      <c r="R55" s="16"/>
      <c r="S55" s="15"/>
      <c r="T55" s="16"/>
      <c r="U55" s="16"/>
      <c r="V55" s="15"/>
      <c r="W55" s="16"/>
      <c r="X55" s="16"/>
      <c r="Y55" s="15"/>
      <c r="Z55" s="16"/>
      <c r="AA55" s="15"/>
      <c r="AB55" s="16"/>
      <c r="AC55" s="16"/>
      <c r="AD55" s="15"/>
      <c r="AE55" s="16"/>
      <c r="AF55" s="15"/>
    </row>
    <row r="56" spans="1:32" x14ac:dyDescent="0.3">
      <c r="A56" s="24" t="s">
        <v>39</v>
      </c>
      <c r="B56" s="15"/>
      <c r="C56" s="26">
        <f>SUM(C49)</f>
        <v>0</v>
      </c>
      <c r="D56" s="15"/>
      <c r="E56" s="26">
        <f>SUM(E49)</f>
        <v>0</v>
      </c>
      <c r="F56" s="26">
        <f>SUM(F49)</f>
        <v>746.25</v>
      </c>
      <c r="G56" s="15"/>
      <c r="H56" s="26">
        <f>SUM(H49)</f>
        <v>0</v>
      </c>
      <c r="I56" s="26">
        <f>SUM(I49)</f>
        <v>750</v>
      </c>
      <c r="J56" s="15"/>
      <c r="K56" s="26">
        <f>SUM(K49)</f>
        <v>2347.5</v>
      </c>
      <c r="L56" s="26">
        <f>SUM(L49)</f>
        <v>624</v>
      </c>
      <c r="M56" s="15"/>
      <c r="N56" s="26">
        <f>SUM(N49)</f>
        <v>2991</v>
      </c>
      <c r="O56" s="26">
        <f>SUM(O49)</f>
        <v>50</v>
      </c>
      <c r="P56" s="15"/>
      <c r="Q56" s="26">
        <f>SUM(Q49)</f>
        <v>2997.74</v>
      </c>
      <c r="R56" s="26">
        <f>SUM(R49)</f>
        <v>258.58</v>
      </c>
      <c r="S56" s="15"/>
      <c r="T56" s="26">
        <f>SUM(T49)</f>
        <v>3251.05</v>
      </c>
      <c r="U56" s="26">
        <f>SUM(U49)</f>
        <v>855.26</v>
      </c>
      <c r="V56" s="15"/>
      <c r="W56" s="26">
        <f>SUM(W49)</f>
        <v>4865.32</v>
      </c>
      <c r="X56" s="26">
        <f>SUM(X49)</f>
        <v>950</v>
      </c>
      <c r="Y56" s="15"/>
      <c r="Z56" s="26">
        <f>SUM(Z49)</f>
        <v>3256.32</v>
      </c>
      <c r="AA56" s="15"/>
      <c r="AB56" s="26">
        <f>SUM(AB49)</f>
        <v>90</v>
      </c>
      <c r="AC56" s="26">
        <f>SUM(AC49)</f>
        <v>3166.32</v>
      </c>
      <c r="AD56" s="15"/>
      <c r="AE56" s="26">
        <f>SUM(AE49)</f>
        <v>3041</v>
      </c>
      <c r="AF56" s="15"/>
    </row>
    <row r="57" spans="1:32" x14ac:dyDescent="0.3">
      <c r="A57" s="25" t="s">
        <v>40</v>
      </c>
      <c r="B57" s="15"/>
      <c r="C57" s="26">
        <v>0</v>
      </c>
      <c r="D57" s="15"/>
      <c r="E57" s="26">
        <v>0</v>
      </c>
      <c r="F57" s="26">
        <v>0</v>
      </c>
      <c r="G57" s="15"/>
      <c r="H57" s="26">
        <v>0</v>
      </c>
      <c r="I57" s="26">
        <v>0</v>
      </c>
      <c r="J57" s="15"/>
      <c r="K57" s="26">
        <v>0</v>
      </c>
      <c r="L57" s="26">
        <v>0</v>
      </c>
      <c r="M57" s="15"/>
      <c r="N57" s="26">
        <v>0</v>
      </c>
      <c r="O57" s="26">
        <v>0</v>
      </c>
      <c r="P57" s="15"/>
      <c r="Q57" s="26">
        <v>0</v>
      </c>
      <c r="R57" s="26">
        <v>0</v>
      </c>
      <c r="S57" s="15"/>
      <c r="T57" s="26">
        <v>0</v>
      </c>
      <c r="U57" s="26">
        <v>0</v>
      </c>
      <c r="V57" s="15"/>
      <c r="W57" s="26">
        <v>0</v>
      </c>
      <c r="X57" s="26">
        <v>0</v>
      </c>
      <c r="Y57" s="15"/>
      <c r="Z57" s="26">
        <v>0</v>
      </c>
      <c r="AA57" s="15"/>
      <c r="AB57" s="26">
        <v>0</v>
      </c>
      <c r="AC57" s="26">
        <v>0</v>
      </c>
      <c r="AD57" s="15"/>
      <c r="AE57" s="26">
        <v>0</v>
      </c>
      <c r="AF57" s="15"/>
    </row>
    <row r="58" spans="1:32" x14ac:dyDescent="0.3">
      <c r="A58" s="46" t="s">
        <v>41</v>
      </c>
      <c r="B58" s="15"/>
      <c r="C58" s="17"/>
      <c r="D58" s="15"/>
      <c r="E58" s="17"/>
      <c r="F58" s="17"/>
      <c r="G58" s="15"/>
      <c r="H58" s="17"/>
      <c r="I58" s="17"/>
      <c r="J58" s="15"/>
      <c r="K58" s="17"/>
      <c r="L58" s="17"/>
      <c r="M58" s="15"/>
      <c r="N58" s="17"/>
      <c r="O58" s="17"/>
      <c r="P58" s="15"/>
      <c r="Q58" s="17"/>
      <c r="R58" s="17"/>
      <c r="S58" s="15"/>
      <c r="T58" s="17"/>
      <c r="U58" s="17"/>
      <c r="V58" s="15"/>
      <c r="W58" s="17"/>
      <c r="X58" s="17"/>
      <c r="Y58" s="15"/>
      <c r="Z58" s="17"/>
      <c r="AA58" s="15"/>
      <c r="AB58" s="17"/>
      <c r="AC58" s="17"/>
      <c r="AD58" s="15"/>
      <c r="AE58" s="17"/>
      <c r="AF58" s="15"/>
    </row>
    <row r="59" spans="1:32" ht="52" x14ac:dyDescent="0.3">
      <c r="A59" s="47" t="s">
        <v>42</v>
      </c>
      <c r="B59" s="15"/>
      <c r="C59" s="27">
        <f>C47+0+0+C48+C50+C56+C57</f>
        <v>545</v>
      </c>
      <c r="D59" s="15"/>
      <c r="E59" s="27">
        <f>E47+0+0+E48+E50+E56+E57</f>
        <v>475</v>
      </c>
      <c r="F59" s="27">
        <f>F47+0+0+F48+F50+F56+F57</f>
        <v>1000</v>
      </c>
      <c r="G59" s="15"/>
      <c r="H59" s="27">
        <f>H47+0+0+H48+H50+H56+H57</f>
        <v>480</v>
      </c>
      <c r="I59" s="27">
        <f>I47+0+0+I48+I50+I56+I57</f>
        <v>1000</v>
      </c>
      <c r="J59" s="15"/>
      <c r="K59" s="27">
        <f>K47+0+0+K48+K50+K56+K57</f>
        <v>3610</v>
      </c>
      <c r="L59" s="27">
        <f>L47+0+0+L48+L50+L56+L57</f>
        <v>1000</v>
      </c>
      <c r="M59" s="15"/>
      <c r="N59" s="27">
        <f>N47+0+0+N48+N50+N56+N57</f>
        <v>5000</v>
      </c>
      <c r="O59" s="27">
        <f>O47+0+0+O48+O50+O56+O57</f>
        <v>1000</v>
      </c>
      <c r="P59" s="15"/>
      <c r="Q59" s="27">
        <f>Q47+0+0+Q48+Q50+Q56+Q57</f>
        <v>5134.74</v>
      </c>
      <c r="R59" s="27">
        <f>R47+0+0+R48+R50+R56+R57</f>
        <v>6000</v>
      </c>
      <c r="S59" s="15"/>
      <c r="T59" s="27">
        <f>T47+0+0+T48+T50+T56+T57</f>
        <v>10201.049999999999</v>
      </c>
      <c r="U59" s="27">
        <f>U47+0+0+U48+U50+U56+U57</f>
        <v>1000</v>
      </c>
      <c r="V59" s="15"/>
      <c r="W59" s="27">
        <f>W47+0+0+W48+W50+W56+W57</f>
        <v>12000</v>
      </c>
      <c r="X59" s="27">
        <f>X47+0+0+X48+X50+X56+X57</f>
        <v>1000</v>
      </c>
      <c r="Y59" s="15"/>
      <c r="Z59" s="27">
        <f>Z47+0+0+Z48+Z50+Z56+Z57</f>
        <v>12000</v>
      </c>
      <c r="AA59" s="15"/>
      <c r="AB59" s="27">
        <f>AB47+0+0+AB48+AB50+AB56+AB57</f>
        <v>600</v>
      </c>
      <c r="AC59" s="27">
        <f>AC47+0+0+AC48+AC50+AC56+AC57</f>
        <v>10233.209999999999</v>
      </c>
      <c r="AD59" s="15"/>
      <c r="AE59" s="27">
        <f>AE47+0+0+AE48+AE50+AE56+AE57</f>
        <v>6000</v>
      </c>
      <c r="AF59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65"/>
  <sheetViews>
    <sheetView zoomScale="80" zoomScaleNormal="80" workbookViewId="0">
      <pane xSplit="2" ySplit="9" topLeftCell="C10" activePane="bottomRight" state="frozen"/>
      <selection pane="topRight" activeCell="C1" sqref="C1"/>
      <selection pane="bottomLeft" activeCell="A8" sqref="A8"/>
      <selection pane="bottomRight" activeCell="U23" sqref="U23"/>
    </sheetView>
  </sheetViews>
  <sheetFormatPr defaultColWidth="9.1796875" defaultRowHeight="13" x14ac:dyDescent="0.3"/>
  <cols>
    <col min="1" max="1" width="73.26953125" style="4" customWidth="1"/>
    <col min="2" max="2" width="3.26953125" style="4" customWidth="1"/>
    <col min="3" max="3" width="19.7265625" style="18" customWidth="1"/>
    <col min="4" max="4" width="3.26953125" style="4" customWidth="1"/>
    <col min="5" max="5" width="21.81640625" style="18" customWidth="1"/>
    <col min="6" max="6" width="3.26953125" style="4" customWidth="1"/>
    <col min="7" max="7" width="19.7265625" style="18" customWidth="1"/>
    <col min="8" max="8" width="3.26953125" style="4" customWidth="1"/>
    <col min="9" max="9" width="21.81640625" style="18" customWidth="1"/>
    <col min="10" max="10" width="3.26953125" style="4" customWidth="1"/>
    <col min="11" max="11" width="21.81640625" style="18" customWidth="1"/>
    <col min="12" max="12" width="3.26953125" style="4" customWidth="1"/>
    <col min="13" max="13" width="21.81640625" style="18" customWidth="1"/>
    <col min="14" max="14" width="3.26953125" style="4" customWidth="1"/>
    <col min="15" max="15" width="21.81640625" style="18" customWidth="1"/>
    <col min="16" max="16" width="3.26953125" style="4" customWidth="1"/>
    <col min="17" max="17" width="21.81640625" style="18" customWidth="1"/>
    <col min="18" max="18" width="3.26953125" style="4" customWidth="1"/>
    <col min="19" max="16384" width="9.1796875" style="4"/>
  </cols>
  <sheetData>
    <row r="1" spans="1:18" ht="165.75" customHeight="1" x14ac:dyDescent="0.3">
      <c r="A1" s="21" t="s">
        <v>80</v>
      </c>
      <c r="B1" s="2"/>
      <c r="C1" s="28" t="s">
        <v>56</v>
      </c>
      <c r="D1" s="2"/>
      <c r="E1" s="20" t="s">
        <v>58</v>
      </c>
      <c r="F1" s="2"/>
      <c r="G1" s="28" t="s">
        <v>55</v>
      </c>
      <c r="H1" s="2"/>
      <c r="I1" s="20" t="s">
        <v>61</v>
      </c>
      <c r="J1" s="2"/>
      <c r="K1" s="20" t="s">
        <v>59</v>
      </c>
      <c r="L1" s="2"/>
      <c r="M1" s="20" t="s">
        <v>60</v>
      </c>
      <c r="N1" s="2"/>
      <c r="O1" s="20" t="s">
        <v>62</v>
      </c>
      <c r="P1" s="2"/>
      <c r="Q1" s="20" t="s">
        <v>57</v>
      </c>
      <c r="R1" s="2"/>
    </row>
    <row r="2" spans="1:18" x14ac:dyDescent="0.3">
      <c r="A2" s="36" t="s">
        <v>66</v>
      </c>
      <c r="B2" s="5"/>
      <c r="C2" s="6">
        <v>10</v>
      </c>
      <c r="D2" s="7"/>
      <c r="E2" s="6">
        <v>10</v>
      </c>
      <c r="F2" s="7"/>
      <c r="G2" s="6">
        <v>10</v>
      </c>
      <c r="H2" s="7"/>
      <c r="I2" s="6">
        <v>10</v>
      </c>
      <c r="J2" s="7"/>
      <c r="K2" s="6">
        <v>10</v>
      </c>
      <c r="L2" s="7"/>
      <c r="M2" s="6">
        <v>10</v>
      </c>
      <c r="N2" s="7"/>
      <c r="O2" s="6">
        <v>10</v>
      </c>
      <c r="P2" s="7"/>
      <c r="Q2" s="6">
        <v>10</v>
      </c>
      <c r="R2" s="7"/>
    </row>
    <row r="3" spans="1:18" x14ac:dyDescent="0.3">
      <c r="A3" s="36" t="s">
        <v>67</v>
      </c>
      <c r="B3" s="5"/>
      <c r="C3" s="6">
        <v>20</v>
      </c>
      <c r="D3" s="7"/>
      <c r="E3" s="6">
        <v>20</v>
      </c>
      <c r="F3" s="7"/>
      <c r="G3" s="6">
        <v>20</v>
      </c>
      <c r="H3" s="7"/>
      <c r="I3" s="6">
        <v>20</v>
      </c>
      <c r="J3" s="7"/>
      <c r="K3" s="6">
        <v>20</v>
      </c>
      <c r="L3" s="7"/>
      <c r="M3" s="6">
        <v>20</v>
      </c>
      <c r="N3" s="7"/>
      <c r="O3" s="6">
        <v>20</v>
      </c>
      <c r="P3" s="7"/>
      <c r="Q3" s="6">
        <v>20</v>
      </c>
      <c r="R3" s="7"/>
    </row>
    <row r="4" spans="1:18" x14ac:dyDescent="0.3">
      <c r="A4" s="36" t="s">
        <v>68</v>
      </c>
      <c r="B4" s="5"/>
      <c r="C4" s="6">
        <v>30</v>
      </c>
      <c r="D4" s="7"/>
      <c r="E4" s="6">
        <v>30</v>
      </c>
      <c r="F4" s="7"/>
      <c r="G4" s="6">
        <v>30</v>
      </c>
      <c r="H4" s="7"/>
      <c r="I4" s="6">
        <v>30</v>
      </c>
      <c r="J4" s="7"/>
      <c r="K4" s="6">
        <v>30</v>
      </c>
      <c r="L4" s="7"/>
      <c r="M4" s="6">
        <v>30</v>
      </c>
      <c r="N4" s="7"/>
      <c r="O4" s="6">
        <v>30</v>
      </c>
      <c r="P4" s="7"/>
      <c r="Q4" s="6">
        <v>30</v>
      </c>
      <c r="R4" s="7"/>
    </row>
    <row r="5" spans="1:18" x14ac:dyDescent="0.3">
      <c r="A5" s="36" t="s">
        <v>27</v>
      </c>
      <c r="B5" s="5"/>
      <c r="C5" s="8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  <c r="P5" s="7"/>
      <c r="Q5" s="8"/>
      <c r="R5" s="7"/>
    </row>
    <row r="6" spans="1:18" x14ac:dyDescent="0.3">
      <c r="A6" s="36" t="s">
        <v>1</v>
      </c>
      <c r="B6" s="5"/>
      <c r="C6" s="6">
        <f>SUM(C7:C7)</f>
        <v>430</v>
      </c>
      <c r="D6" s="7"/>
      <c r="E6" s="6">
        <f>SUM(E7:E7)</f>
        <v>1000</v>
      </c>
      <c r="F6" s="7"/>
      <c r="G6" s="6">
        <f>SUM(G7:G7)</f>
        <v>90</v>
      </c>
      <c r="H6" s="7"/>
      <c r="I6" s="6">
        <f>SUM(I7:I7)</f>
        <v>430</v>
      </c>
      <c r="J6" s="7"/>
      <c r="K6" s="6">
        <f>SUM(K7:K7)</f>
        <v>40</v>
      </c>
      <c r="L6" s="7"/>
      <c r="M6" s="6">
        <f>SUM(M7:M7)</f>
        <v>500</v>
      </c>
      <c r="N6" s="7"/>
      <c r="O6" s="6">
        <f>SUM(O7:O7)</f>
        <v>70</v>
      </c>
      <c r="P6" s="7"/>
      <c r="Q6" s="6">
        <f>SUM(Q7:Q7)</f>
        <v>500</v>
      </c>
      <c r="R6" s="7"/>
    </row>
    <row r="7" spans="1:18" x14ac:dyDescent="0.3">
      <c r="A7" s="37" t="s">
        <v>0</v>
      </c>
      <c r="B7" s="5"/>
      <c r="C7" s="6">
        <v>430</v>
      </c>
      <c r="D7" s="7"/>
      <c r="E7" s="6">
        <v>1000</v>
      </c>
      <c r="F7" s="7"/>
      <c r="G7" s="6">
        <v>90</v>
      </c>
      <c r="H7" s="7"/>
      <c r="I7" s="6">
        <v>430</v>
      </c>
      <c r="J7" s="7"/>
      <c r="K7" s="6">
        <v>40</v>
      </c>
      <c r="L7" s="7"/>
      <c r="M7" s="6">
        <v>500</v>
      </c>
      <c r="N7" s="7"/>
      <c r="O7" s="6">
        <v>70</v>
      </c>
      <c r="P7" s="7"/>
      <c r="Q7" s="6">
        <v>500</v>
      </c>
      <c r="R7" s="7"/>
    </row>
    <row r="8" spans="1:18" x14ac:dyDescent="0.3">
      <c r="A8" s="38" t="s">
        <v>19</v>
      </c>
      <c r="B8" s="5"/>
      <c r="C8" s="6">
        <v>0</v>
      </c>
      <c r="D8" s="7"/>
      <c r="E8" s="6">
        <v>430</v>
      </c>
      <c r="F8" s="7"/>
      <c r="G8" s="6">
        <v>0</v>
      </c>
      <c r="H8" s="7"/>
      <c r="I8" s="6">
        <v>480</v>
      </c>
      <c r="J8" s="7"/>
      <c r="K8" s="6">
        <v>0</v>
      </c>
      <c r="L8" s="7"/>
      <c r="M8" s="6">
        <v>4430</v>
      </c>
      <c r="N8" s="7"/>
      <c r="O8" s="6">
        <v>0</v>
      </c>
      <c r="P8" s="7"/>
      <c r="Q8" s="6">
        <v>405</v>
      </c>
      <c r="R8" s="7"/>
    </row>
    <row r="9" spans="1:18" x14ac:dyDescent="0.3">
      <c r="A9" s="38" t="s">
        <v>18</v>
      </c>
      <c r="B9" s="5"/>
      <c r="C9" s="6">
        <v>0</v>
      </c>
      <c r="D9" s="7"/>
      <c r="E9" s="6">
        <v>0</v>
      </c>
      <c r="F9" s="7"/>
      <c r="G9" s="6">
        <v>0</v>
      </c>
      <c r="H9" s="7"/>
      <c r="I9" s="6">
        <v>0</v>
      </c>
      <c r="J9" s="7"/>
      <c r="K9" s="6">
        <v>0</v>
      </c>
      <c r="L9" s="7"/>
      <c r="M9" s="6">
        <v>0</v>
      </c>
      <c r="N9" s="7"/>
      <c r="O9" s="6">
        <v>0</v>
      </c>
      <c r="P9" s="7"/>
      <c r="Q9" s="6">
        <v>0</v>
      </c>
      <c r="R9" s="7"/>
    </row>
    <row r="10" spans="1:18" x14ac:dyDescent="0.3">
      <c r="A10" s="39" t="s">
        <v>6</v>
      </c>
      <c r="B10" s="5"/>
      <c r="C10" s="10"/>
      <c r="D10" s="5"/>
      <c r="E10" s="10"/>
      <c r="F10" s="5"/>
      <c r="G10" s="10"/>
      <c r="H10" s="5"/>
      <c r="I10" s="10"/>
      <c r="J10" s="5"/>
      <c r="K10" s="10"/>
      <c r="L10" s="5"/>
      <c r="M10" s="10"/>
      <c r="N10" s="5"/>
      <c r="O10" s="10"/>
      <c r="P10" s="5"/>
      <c r="Q10" s="10"/>
      <c r="R10" s="5"/>
    </row>
    <row r="11" spans="1:18" x14ac:dyDescent="0.3">
      <c r="A11" s="40" t="s">
        <v>20</v>
      </c>
      <c r="B11" s="5"/>
      <c r="C11" s="11">
        <f>IF(C8&gt;480,0,MIN(480-C8,C6))</f>
        <v>430</v>
      </c>
      <c r="D11" s="5"/>
      <c r="E11" s="11">
        <v>50</v>
      </c>
      <c r="F11" s="5"/>
      <c r="G11" s="11">
        <v>90</v>
      </c>
      <c r="H11" s="5"/>
      <c r="I11" s="11">
        <v>0</v>
      </c>
      <c r="J11" s="5"/>
      <c r="K11" s="11">
        <v>40</v>
      </c>
      <c r="L11" s="5"/>
      <c r="M11" s="11">
        <v>0</v>
      </c>
      <c r="N11" s="5"/>
      <c r="O11" s="11">
        <v>70</v>
      </c>
      <c r="P11" s="5"/>
      <c r="Q11" s="87">
        <v>75</v>
      </c>
      <c r="R11" s="5"/>
    </row>
    <row r="12" spans="1:18" x14ac:dyDescent="0.3">
      <c r="A12" s="41" t="s">
        <v>14</v>
      </c>
      <c r="B12" s="5"/>
      <c r="C12" s="6">
        <f>C11*100%</f>
        <v>430</v>
      </c>
      <c r="D12" s="5"/>
      <c r="E12" s="6">
        <f>E11*100%</f>
        <v>50</v>
      </c>
      <c r="F12" s="5"/>
      <c r="G12" s="6">
        <f>G11*100%</f>
        <v>90</v>
      </c>
      <c r="H12" s="5"/>
      <c r="I12" s="6">
        <f>I11*100%</f>
        <v>0</v>
      </c>
      <c r="J12" s="5"/>
      <c r="K12" s="6">
        <f>K11*100%</f>
        <v>40</v>
      </c>
      <c r="L12" s="5"/>
      <c r="M12" s="6">
        <f>M11*100%</f>
        <v>0</v>
      </c>
      <c r="N12" s="5"/>
      <c r="O12" s="6">
        <f>O11*100%</f>
        <v>70</v>
      </c>
      <c r="P12" s="5"/>
      <c r="Q12" s="6">
        <f>Q11*100%</f>
        <v>75</v>
      </c>
      <c r="R12" s="5"/>
    </row>
    <row r="13" spans="1:18" x14ac:dyDescent="0.3">
      <c r="A13" s="41" t="s">
        <v>15</v>
      </c>
      <c r="B13" s="5"/>
      <c r="C13" s="6">
        <f>C11-C12</f>
        <v>0</v>
      </c>
      <c r="D13" s="5"/>
      <c r="E13" s="6">
        <f>E11-E12</f>
        <v>0</v>
      </c>
      <c r="F13" s="5"/>
      <c r="G13" s="6">
        <f>G11-G12</f>
        <v>0</v>
      </c>
      <c r="H13" s="5"/>
      <c r="I13" s="6">
        <f>I11-I12</f>
        <v>0</v>
      </c>
      <c r="J13" s="5"/>
      <c r="K13" s="6">
        <f>K11-K12</f>
        <v>0</v>
      </c>
      <c r="L13" s="5"/>
      <c r="M13" s="6">
        <f>M11-M12</f>
        <v>0</v>
      </c>
      <c r="N13" s="5"/>
      <c r="O13" s="6">
        <f>O11-O12</f>
        <v>0</v>
      </c>
      <c r="P13" s="5"/>
      <c r="Q13" s="6">
        <f>Q11-Q12</f>
        <v>0</v>
      </c>
      <c r="R13" s="5"/>
    </row>
    <row r="14" spans="1:18" x14ac:dyDescent="0.3">
      <c r="A14" s="40" t="s">
        <v>21</v>
      </c>
      <c r="B14" s="5"/>
      <c r="C14" s="11">
        <f>IF(C8&gt;4430,0,MIN(4430-C8-C11,C6-C11))</f>
        <v>0</v>
      </c>
      <c r="D14" s="5"/>
      <c r="E14" s="11">
        <f>SUM(E6-E11)</f>
        <v>950</v>
      </c>
      <c r="F14" s="5"/>
      <c r="G14" s="11">
        <v>0</v>
      </c>
      <c r="H14" s="5"/>
      <c r="I14" s="11">
        <v>430</v>
      </c>
      <c r="J14" s="5"/>
      <c r="K14" s="11">
        <v>0</v>
      </c>
      <c r="L14" s="5"/>
      <c r="M14" s="11">
        <v>0</v>
      </c>
      <c r="N14" s="5"/>
      <c r="O14" s="11">
        <v>0</v>
      </c>
      <c r="P14" s="5"/>
      <c r="Q14" s="87">
        <v>425</v>
      </c>
      <c r="R14" s="5"/>
    </row>
    <row r="15" spans="1:18" x14ac:dyDescent="0.3">
      <c r="A15" s="41" t="s">
        <v>8</v>
      </c>
      <c r="B15" s="5"/>
      <c r="C15" s="6">
        <f>SUM(C14)*25%</f>
        <v>0</v>
      </c>
      <c r="D15" s="5"/>
      <c r="E15" s="6">
        <f>SUM(E14)*25%</f>
        <v>237.5</v>
      </c>
      <c r="F15" s="5"/>
      <c r="G15" s="6">
        <f>SUM(G14)*25%</f>
        <v>0</v>
      </c>
      <c r="H15" s="5"/>
      <c r="I15" s="6">
        <f>SUM(I14)*25%</f>
        <v>107.5</v>
      </c>
      <c r="J15" s="5"/>
      <c r="K15" s="6">
        <f>SUM(K14)*25%</f>
        <v>0</v>
      </c>
      <c r="L15" s="5"/>
      <c r="M15" s="6">
        <f>SUM(M14)*25%</f>
        <v>0</v>
      </c>
      <c r="N15" s="5"/>
      <c r="O15" s="6">
        <f>SUM(O14)*25%</f>
        <v>0</v>
      </c>
      <c r="P15" s="5"/>
      <c r="Q15" s="6">
        <f>SUM(Q14)*25%</f>
        <v>106.25</v>
      </c>
      <c r="R15" s="5"/>
    </row>
    <row r="16" spans="1:18" x14ac:dyDescent="0.3">
      <c r="A16" s="41" t="s">
        <v>9</v>
      </c>
      <c r="B16" s="5"/>
      <c r="C16" s="6">
        <f>C14-C15</f>
        <v>0</v>
      </c>
      <c r="D16" s="5"/>
      <c r="E16" s="6">
        <f>E14-E15</f>
        <v>712.5</v>
      </c>
      <c r="F16" s="5"/>
      <c r="G16" s="6">
        <f>G14-G15</f>
        <v>0</v>
      </c>
      <c r="H16" s="5"/>
      <c r="I16" s="6">
        <f>I14-I15</f>
        <v>322.5</v>
      </c>
      <c r="J16" s="5"/>
      <c r="K16" s="6">
        <f>K14-K15</f>
        <v>0</v>
      </c>
      <c r="L16" s="5"/>
      <c r="M16" s="6">
        <f>M14-M15</f>
        <v>0</v>
      </c>
      <c r="N16" s="5"/>
      <c r="O16" s="6">
        <f>O14-O15</f>
        <v>0</v>
      </c>
      <c r="P16" s="5"/>
      <c r="Q16" s="6">
        <f>Q14-Q15</f>
        <v>318.75</v>
      </c>
      <c r="R16" s="5"/>
    </row>
    <row r="17" spans="1:18" x14ac:dyDescent="0.3">
      <c r="A17" s="40" t="s">
        <v>25</v>
      </c>
      <c r="B17" s="5"/>
      <c r="C17" s="11">
        <f>SUM(C7-C11-C14)</f>
        <v>0</v>
      </c>
      <c r="D17" s="5"/>
      <c r="E17" s="11">
        <f>SUM(E7-E11-E14)</f>
        <v>0</v>
      </c>
      <c r="F17" s="5"/>
      <c r="G17" s="11">
        <f>SUM(G7-G11-G14)</f>
        <v>0</v>
      </c>
      <c r="H17" s="5"/>
      <c r="I17" s="11">
        <f>SUM(I7-I11-I14)</f>
        <v>0</v>
      </c>
      <c r="J17" s="5"/>
      <c r="K17" s="11">
        <f>SUM(K7-K11-K14)</f>
        <v>0</v>
      </c>
      <c r="L17" s="5"/>
      <c r="M17" s="11">
        <f>SUM(M7-M11-M14)</f>
        <v>500</v>
      </c>
      <c r="N17" s="5"/>
      <c r="O17" s="11">
        <f>SUM(O7-O11-O14)</f>
        <v>0</v>
      </c>
      <c r="P17" s="5"/>
      <c r="Q17" s="11">
        <f>SUM(Q7-Q11-Q14)</f>
        <v>0</v>
      </c>
      <c r="R17" s="5"/>
    </row>
    <row r="18" spans="1:18" x14ac:dyDescent="0.3">
      <c r="A18" s="40" t="s">
        <v>43</v>
      </c>
      <c r="B18" s="5"/>
      <c r="C18" s="11">
        <f>7050-C9-C12-C15</f>
        <v>6620</v>
      </c>
      <c r="D18" s="5"/>
      <c r="E18" s="11">
        <f>7050-E9-E12-E15</f>
        <v>6762.5</v>
      </c>
      <c r="F18" s="5"/>
      <c r="G18" s="11">
        <f>7050-G9-G12-G15</f>
        <v>6960</v>
      </c>
      <c r="H18" s="5"/>
      <c r="I18" s="11">
        <f>7050-I9-I12-I15</f>
        <v>6942.5</v>
      </c>
      <c r="J18" s="5"/>
      <c r="K18" s="11">
        <f>7050-K9-K12-K15</f>
        <v>7010</v>
      </c>
      <c r="L18" s="5"/>
      <c r="M18" s="11">
        <f>7050-M9-M12-M15</f>
        <v>7050</v>
      </c>
      <c r="N18" s="5"/>
      <c r="O18" s="11">
        <f>7050-O9-O12-O15</f>
        <v>6980</v>
      </c>
      <c r="P18" s="5"/>
      <c r="Q18" s="11">
        <f>7050-Q9-Q12-Q15</f>
        <v>6868.75</v>
      </c>
      <c r="R18" s="5"/>
    </row>
    <row r="19" spans="1:18" x14ac:dyDescent="0.3">
      <c r="A19" s="40" t="s">
        <v>22</v>
      </c>
      <c r="B19" s="5"/>
      <c r="C19" s="11">
        <f>IF(C17=0,0,MIN(C17,C18/95%))</f>
        <v>0</v>
      </c>
      <c r="D19" s="5"/>
      <c r="E19" s="11">
        <f>IF(E17=0,0,MIN(E17,E18/95%))</f>
        <v>0</v>
      </c>
      <c r="F19" s="5"/>
      <c r="G19" s="11">
        <f>IF(G17=0,0,MIN(G17,G18/95%))</f>
        <v>0</v>
      </c>
      <c r="H19" s="5"/>
      <c r="I19" s="11">
        <f>IF(I17=0,0,MIN(I17,I18/95%))</f>
        <v>0</v>
      </c>
      <c r="J19" s="5"/>
      <c r="K19" s="11">
        <f>IF(K17=0,0,MIN(K17,K18/95%))</f>
        <v>0</v>
      </c>
      <c r="L19" s="5"/>
      <c r="M19" s="11">
        <f>IF(M17=0,0,MIN(M17,M18/95%))</f>
        <v>500</v>
      </c>
      <c r="N19" s="5"/>
      <c r="O19" s="11">
        <f>IF(O17=0,0,MIN(O17,O18/95%))</f>
        <v>0</v>
      </c>
      <c r="P19" s="5"/>
      <c r="Q19" s="11">
        <f>IF(Q17=0,0,MIN(Q17,Q18/95%))</f>
        <v>0</v>
      </c>
      <c r="R19" s="5"/>
    </row>
    <row r="20" spans="1:18" x14ac:dyDescent="0.3">
      <c r="A20" s="40" t="s">
        <v>24</v>
      </c>
      <c r="B20" s="5"/>
      <c r="C20" s="11">
        <f>C19</f>
        <v>0</v>
      </c>
      <c r="D20" s="5"/>
      <c r="E20" s="11">
        <f>E19</f>
        <v>0</v>
      </c>
      <c r="F20" s="5"/>
      <c r="G20" s="11">
        <f>G19</f>
        <v>0</v>
      </c>
      <c r="H20" s="5"/>
      <c r="I20" s="11">
        <f>I19</f>
        <v>0</v>
      </c>
      <c r="J20" s="5"/>
      <c r="K20" s="11">
        <f>K19</f>
        <v>0</v>
      </c>
      <c r="L20" s="5"/>
      <c r="M20" s="11">
        <f>M19</f>
        <v>500</v>
      </c>
      <c r="N20" s="5"/>
      <c r="O20" s="11">
        <f>O19</f>
        <v>0</v>
      </c>
      <c r="P20" s="5"/>
      <c r="Q20" s="11">
        <f>Q19</f>
        <v>0</v>
      </c>
      <c r="R20" s="5"/>
    </row>
    <row r="21" spans="1:18" x14ac:dyDescent="0.3">
      <c r="A21" s="41" t="s">
        <v>10</v>
      </c>
      <c r="B21" s="5"/>
      <c r="C21" s="6">
        <f>C19*95%-C22</f>
        <v>0</v>
      </c>
      <c r="D21" s="5"/>
      <c r="E21" s="6">
        <f>E19*95%-E22</f>
        <v>0</v>
      </c>
      <c r="F21" s="5"/>
      <c r="G21" s="6">
        <f>G19*95%-G22</f>
        <v>0</v>
      </c>
      <c r="H21" s="5"/>
      <c r="I21" s="6">
        <f>I19*95%-I22</f>
        <v>0</v>
      </c>
      <c r="J21" s="5"/>
      <c r="K21" s="6">
        <f>K19*95%-K22</f>
        <v>0</v>
      </c>
      <c r="L21" s="5"/>
      <c r="M21" s="6">
        <f>M19*95%-M22</f>
        <v>125</v>
      </c>
      <c r="N21" s="5"/>
      <c r="O21" s="6">
        <f>O19*95%-O22</f>
        <v>0</v>
      </c>
      <c r="P21" s="5"/>
      <c r="Q21" s="6">
        <f>Q19*95%-Q22</f>
        <v>0</v>
      </c>
      <c r="R21" s="5"/>
    </row>
    <row r="22" spans="1:18" x14ac:dyDescent="0.3">
      <c r="A22" s="41" t="s">
        <v>17</v>
      </c>
      <c r="B22" s="5"/>
      <c r="C22" s="6">
        <f>C20*70%</f>
        <v>0</v>
      </c>
      <c r="D22" s="5"/>
      <c r="E22" s="6">
        <f>E20*70%</f>
        <v>0</v>
      </c>
      <c r="F22" s="5"/>
      <c r="G22" s="6">
        <f>G20*70%</f>
        <v>0</v>
      </c>
      <c r="H22" s="5"/>
      <c r="I22" s="6">
        <f>I20*70%</f>
        <v>0</v>
      </c>
      <c r="J22" s="5"/>
      <c r="K22" s="6">
        <f>K20*70%</f>
        <v>0</v>
      </c>
      <c r="L22" s="5"/>
      <c r="M22" s="6">
        <f>M20*70%</f>
        <v>350</v>
      </c>
      <c r="N22" s="5"/>
      <c r="O22" s="6">
        <f>O20*70%</f>
        <v>0</v>
      </c>
      <c r="P22" s="5"/>
      <c r="Q22" s="6">
        <f>Q20*70%</f>
        <v>0</v>
      </c>
      <c r="R22" s="5"/>
    </row>
    <row r="23" spans="1:18" x14ac:dyDescent="0.3">
      <c r="A23" s="41" t="s">
        <v>12</v>
      </c>
      <c r="B23" s="5"/>
      <c r="C23" s="6">
        <f>SUM(C19-C21-C22)</f>
        <v>0</v>
      </c>
      <c r="D23" s="5"/>
      <c r="E23" s="6">
        <f>SUM(E19-E21-E22)</f>
        <v>0</v>
      </c>
      <c r="F23" s="5"/>
      <c r="G23" s="6">
        <f>SUM(G19-G21-G22)</f>
        <v>0</v>
      </c>
      <c r="H23" s="5"/>
      <c r="I23" s="6">
        <f>SUM(I19-I21-I22)</f>
        <v>0</v>
      </c>
      <c r="J23" s="5"/>
      <c r="K23" s="6">
        <f>SUM(K19-K21-K22)</f>
        <v>0</v>
      </c>
      <c r="L23" s="5"/>
      <c r="M23" s="6">
        <f>SUM(M19-M21-M22)</f>
        <v>25</v>
      </c>
      <c r="N23" s="5"/>
      <c r="O23" s="6">
        <f>SUM(O19-O21-O22)</f>
        <v>0</v>
      </c>
      <c r="P23" s="5"/>
      <c r="Q23" s="6">
        <f>SUM(Q19-Q21-Q22)</f>
        <v>0</v>
      </c>
      <c r="R23" s="5"/>
    </row>
    <row r="24" spans="1:18" x14ac:dyDescent="0.3">
      <c r="A24" s="40" t="s">
        <v>23</v>
      </c>
      <c r="B24" s="5"/>
      <c r="C24" s="11">
        <f>SUM(C6-C11-C14-C19)</f>
        <v>0</v>
      </c>
      <c r="D24" s="5"/>
      <c r="E24" s="11">
        <f>SUM(E6-E11-E14-E19)</f>
        <v>0</v>
      </c>
      <c r="F24" s="5"/>
      <c r="G24" s="11">
        <f>SUM(G6-G11-G14-G19)</f>
        <v>0</v>
      </c>
      <c r="H24" s="5"/>
      <c r="I24" s="11">
        <f>SUM(I6-I11-I14-I19)</f>
        <v>0</v>
      </c>
      <c r="J24" s="5"/>
      <c r="K24" s="11">
        <f>SUM(K6-K11-K14-K19)</f>
        <v>0</v>
      </c>
      <c r="L24" s="5"/>
      <c r="M24" s="11">
        <f>SUM(M6-M11-M14-M19)</f>
        <v>0</v>
      </c>
      <c r="N24" s="5"/>
      <c r="O24" s="11">
        <f>SUM(O6-O11-O14-O19)</f>
        <v>0</v>
      </c>
      <c r="P24" s="5"/>
      <c r="Q24" s="11">
        <f>SUM(Q6-Q11-Q14-Q19)</f>
        <v>0</v>
      </c>
      <c r="R24" s="5"/>
    </row>
    <row r="25" spans="1:18" x14ac:dyDescent="0.3">
      <c r="A25" s="41" t="s">
        <v>13</v>
      </c>
      <c r="B25" s="5"/>
      <c r="C25" s="6">
        <f>SUM(C24*5%)</f>
        <v>0</v>
      </c>
      <c r="D25" s="5"/>
      <c r="E25" s="6">
        <f>SUM(E24*5%)</f>
        <v>0</v>
      </c>
      <c r="F25" s="5"/>
      <c r="G25" s="6">
        <f>SUM(G24*5%)</f>
        <v>0</v>
      </c>
      <c r="H25" s="5"/>
      <c r="I25" s="6">
        <f>SUM(I24*5%)</f>
        <v>0</v>
      </c>
      <c r="J25" s="5"/>
      <c r="K25" s="6">
        <f>SUM(K24*5%)</f>
        <v>0</v>
      </c>
      <c r="L25" s="5"/>
      <c r="M25" s="6">
        <f>SUM(M24*5%)</f>
        <v>0</v>
      </c>
      <c r="N25" s="5"/>
      <c r="O25" s="6">
        <f>SUM(O24*5%)</f>
        <v>0</v>
      </c>
      <c r="P25" s="5"/>
      <c r="Q25" s="6">
        <f>SUM(Q24*5%)</f>
        <v>0</v>
      </c>
      <c r="R25" s="5"/>
    </row>
    <row r="26" spans="1:18" x14ac:dyDescent="0.3">
      <c r="A26" s="41" t="s">
        <v>16</v>
      </c>
      <c r="B26" s="5"/>
      <c r="C26" s="6">
        <f>SUM(C24-C25)</f>
        <v>0</v>
      </c>
      <c r="D26" s="5"/>
      <c r="E26" s="6">
        <f>SUM(E24-E25)</f>
        <v>0</v>
      </c>
      <c r="F26" s="5"/>
      <c r="G26" s="6">
        <f>SUM(G24-G25)</f>
        <v>0</v>
      </c>
      <c r="H26" s="5"/>
      <c r="I26" s="6">
        <f>SUM(I24-I25)</f>
        <v>0</v>
      </c>
      <c r="J26" s="5"/>
      <c r="K26" s="6">
        <f>SUM(K24-K25)</f>
        <v>0</v>
      </c>
      <c r="L26" s="5"/>
      <c r="M26" s="6">
        <f>SUM(M24-M25)</f>
        <v>0</v>
      </c>
      <c r="N26" s="5"/>
      <c r="O26" s="6">
        <f>SUM(O24-O25)</f>
        <v>0</v>
      </c>
      <c r="P26" s="5"/>
      <c r="Q26" s="6">
        <f>SUM(Q24-Q25)</f>
        <v>0</v>
      </c>
      <c r="R26" s="5"/>
    </row>
    <row r="27" spans="1:18" x14ac:dyDescent="0.3">
      <c r="A27" s="40" t="s">
        <v>26</v>
      </c>
      <c r="B27" s="5"/>
      <c r="C27" s="11"/>
      <c r="D27" s="5"/>
      <c r="E27" s="11"/>
      <c r="F27" s="5"/>
      <c r="G27" s="11"/>
      <c r="H27" s="5"/>
      <c r="I27" s="11"/>
      <c r="J27" s="5"/>
      <c r="K27" s="11"/>
      <c r="L27" s="5"/>
      <c r="M27" s="11"/>
      <c r="N27" s="5"/>
      <c r="O27" s="11"/>
      <c r="P27" s="5"/>
      <c r="Q27" s="11"/>
      <c r="R27" s="5"/>
    </row>
    <row r="28" spans="1:18" x14ac:dyDescent="0.3">
      <c r="A28" s="81" t="s">
        <v>52</v>
      </c>
      <c r="B28" s="5"/>
      <c r="C28" s="6">
        <v>80</v>
      </c>
      <c r="D28" s="5"/>
      <c r="E28" s="6">
        <v>80</v>
      </c>
      <c r="F28" s="5"/>
      <c r="G28" s="6">
        <v>80</v>
      </c>
      <c r="H28" s="5"/>
      <c r="I28" s="6">
        <v>80</v>
      </c>
      <c r="J28" s="5"/>
      <c r="K28" s="6">
        <v>80</v>
      </c>
      <c r="L28" s="5"/>
      <c r="M28" s="6">
        <v>80</v>
      </c>
      <c r="N28" s="5"/>
      <c r="O28" s="6">
        <v>80</v>
      </c>
      <c r="P28" s="5"/>
      <c r="Q28" s="6">
        <v>80</v>
      </c>
      <c r="R28" s="5"/>
    </row>
    <row r="29" spans="1:18" x14ac:dyDescent="0.3">
      <c r="A29" s="41" t="s">
        <v>48</v>
      </c>
      <c r="B29" s="5"/>
      <c r="C29" s="6">
        <v>80</v>
      </c>
      <c r="D29" s="5"/>
      <c r="E29" s="6">
        <v>80</v>
      </c>
      <c r="F29" s="5"/>
      <c r="G29" s="6">
        <v>80</v>
      </c>
      <c r="H29" s="5"/>
      <c r="I29" s="6">
        <v>40</v>
      </c>
      <c r="J29" s="5"/>
      <c r="K29" s="6">
        <v>40</v>
      </c>
      <c r="L29" s="5"/>
      <c r="M29" s="6">
        <v>10</v>
      </c>
      <c r="N29" s="5"/>
      <c r="O29" s="6">
        <v>70</v>
      </c>
      <c r="P29" s="5"/>
      <c r="Q29" s="6">
        <v>0</v>
      </c>
      <c r="R29" s="5"/>
    </row>
    <row r="30" spans="1:18" x14ac:dyDescent="0.3">
      <c r="A30" s="81" t="s">
        <v>49</v>
      </c>
      <c r="B30" s="5"/>
      <c r="C30" s="6">
        <f>IF(C11=0,0,MIN(80,C11))</f>
        <v>80</v>
      </c>
      <c r="D30" s="5"/>
      <c r="E30" s="6">
        <f>IF(E11=0,0,MIN(80,E11))</f>
        <v>50</v>
      </c>
      <c r="F30" s="5"/>
      <c r="G30" s="6">
        <f>IF(G11=0,0,MIN(80,G11))</f>
        <v>80</v>
      </c>
      <c r="H30" s="5"/>
      <c r="I30" s="6">
        <f>IF(I11=0,0,MIN(80,I11))</f>
        <v>0</v>
      </c>
      <c r="J30" s="5"/>
      <c r="K30" s="6">
        <f>IF(K11=0,0,MIN(80,K11))</f>
        <v>40</v>
      </c>
      <c r="L30" s="5"/>
      <c r="M30" s="6">
        <f>IF(M11=0,0,MIN(80,M11))</f>
        <v>0</v>
      </c>
      <c r="N30" s="5"/>
      <c r="O30" s="6">
        <f>IF(O11=0,0,MIN(80,O11))</f>
        <v>70</v>
      </c>
      <c r="P30" s="5"/>
      <c r="Q30" s="6">
        <f>IF(Q11=0,0,MIN(Q29,Q11))</f>
        <v>0</v>
      </c>
      <c r="R30" s="5"/>
    </row>
    <row r="31" spans="1:18" x14ac:dyDescent="0.3">
      <c r="A31" s="41" t="s">
        <v>46</v>
      </c>
      <c r="B31" s="5"/>
      <c r="C31" s="6">
        <f>IF(A11=0,0,MIN(50%*(C11-C30),C11,C2))</f>
        <v>10</v>
      </c>
      <c r="D31" s="5"/>
      <c r="E31" s="6">
        <f>IF(C11=0,0,MIN(50%*(E11-E30),E11,E2))</f>
        <v>0</v>
      </c>
      <c r="F31" s="5"/>
      <c r="G31" s="6">
        <f>IF(E11=0,0,MIN(50%*(G11-G30),G11,G2))</f>
        <v>5</v>
      </c>
      <c r="H31" s="5"/>
      <c r="I31" s="6">
        <f>IF(G11=0,0,MIN(50%*(I11-I30),I11,I2))</f>
        <v>0</v>
      </c>
      <c r="J31" s="5"/>
      <c r="K31" s="6">
        <f>IF(I11=0,0,MIN(50%*(K11-K30),K11,K2))</f>
        <v>0</v>
      </c>
      <c r="L31" s="5"/>
      <c r="M31" s="6">
        <f>IF(K11=0,0,MIN(50%*(M11-M30),M11,M2))</f>
        <v>0</v>
      </c>
      <c r="N31" s="5"/>
      <c r="O31" s="6">
        <f>IF(M11=0,0,MIN(50%*(O11-O30),O11,O2))</f>
        <v>0</v>
      </c>
      <c r="P31" s="5"/>
      <c r="Q31" s="6">
        <f>IF(O11=0,0,MIN(50%*(Q11-Q30),Q11,Q2))</f>
        <v>10</v>
      </c>
      <c r="R31" s="5"/>
    </row>
    <row r="32" spans="1:18" x14ac:dyDescent="0.3">
      <c r="A32" s="81" t="s">
        <v>50</v>
      </c>
      <c r="B32" s="5"/>
      <c r="C32" s="6">
        <f>IF(C14=0,0,MIN(C29-C30,C14))</f>
        <v>0</v>
      </c>
      <c r="D32" s="5"/>
      <c r="E32" s="6">
        <f>IF(E14=0,0,MIN(E29-E30,E14))</f>
        <v>30</v>
      </c>
      <c r="F32" s="5"/>
      <c r="G32" s="6">
        <f>IF(G14=0,0,MIN(G29-G30,G14))</f>
        <v>0</v>
      </c>
      <c r="H32" s="5"/>
      <c r="I32" s="6">
        <f>IF(I14=0,0,MIN(I29-I30,I14))</f>
        <v>40</v>
      </c>
      <c r="J32" s="5"/>
      <c r="K32" s="6">
        <f>IF(K14=0,0,MIN(K29-K30,K14))</f>
        <v>0</v>
      </c>
      <c r="L32" s="5"/>
      <c r="M32" s="6">
        <f>IF(M14=0,0,MIN(M29-M30,M14))</f>
        <v>0</v>
      </c>
      <c r="N32" s="5"/>
      <c r="O32" s="6">
        <f>IF(O14=0,0,MIN(O29-O30,O14))</f>
        <v>0</v>
      </c>
      <c r="P32" s="5"/>
      <c r="Q32" s="6">
        <f>IF(Q14=0,0,MIN(Q29-Q30,Q14))</f>
        <v>0</v>
      </c>
      <c r="R32" s="5"/>
    </row>
    <row r="33" spans="1:18" x14ac:dyDescent="0.3">
      <c r="A33" s="41" t="s">
        <v>47</v>
      </c>
      <c r="B33" s="5"/>
      <c r="C33" s="6">
        <f>MIN(25%*(C14-C32),C14,C3)</f>
        <v>0</v>
      </c>
      <c r="D33" s="5"/>
      <c r="E33" s="6">
        <v>10</v>
      </c>
      <c r="F33" s="5"/>
      <c r="G33" s="6">
        <f>MIN(25%*(G14-G32),G14,G3)</f>
        <v>0</v>
      </c>
      <c r="H33" s="5"/>
      <c r="I33" s="6">
        <f>MIN(25%*(I14-I32),I14,I3)</f>
        <v>20</v>
      </c>
      <c r="J33" s="5"/>
      <c r="K33" s="6">
        <f>MIN(25%*(K14-K32),K14,K3)</f>
        <v>0</v>
      </c>
      <c r="L33" s="5"/>
      <c r="M33" s="6">
        <f>MIN(25%*(M14-M32),M14,M3)</f>
        <v>0</v>
      </c>
      <c r="N33" s="5"/>
      <c r="O33" s="6">
        <f>MIN(25%*(O14-O32),O14,O3)</f>
        <v>0</v>
      </c>
      <c r="P33" s="5"/>
      <c r="Q33" s="32">
        <f>MIN(25%*(Q14-Q32),Q14,Q3)</f>
        <v>20</v>
      </c>
      <c r="R33" s="5"/>
    </row>
    <row r="34" spans="1:18" x14ac:dyDescent="0.3">
      <c r="A34" s="81" t="s">
        <v>51</v>
      </c>
      <c r="B34" s="5"/>
      <c r="C34" s="6">
        <f>IF(C19=0,0,MIN(C19,C29-C30-C32))</f>
        <v>0</v>
      </c>
      <c r="D34" s="5"/>
      <c r="E34" s="6">
        <f>IF(E19=0,0,MIN(E19,E29-E30-E32))</f>
        <v>0</v>
      </c>
      <c r="F34" s="5"/>
      <c r="G34" s="6">
        <f>IF(G19=0,0,MIN(G19,G29-G30-G32))</f>
        <v>0</v>
      </c>
      <c r="H34" s="5"/>
      <c r="I34" s="6">
        <f>IF(I19=0,0,MIN(I19,I29-I30-I32))</f>
        <v>0</v>
      </c>
      <c r="J34" s="5"/>
      <c r="K34" s="6">
        <f>IF(K19=0,0,MIN(K19,K29-K30-K32))</f>
        <v>0</v>
      </c>
      <c r="L34" s="5"/>
      <c r="M34" s="6">
        <f>IF(M19=0,0,MIN(M19,M29-M30-M32))</f>
        <v>10</v>
      </c>
      <c r="N34" s="5"/>
      <c r="O34" s="6">
        <f>IF(O19=0,0,MIN(O19,O29-O30-O32))</f>
        <v>0</v>
      </c>
      <c r="P34" s="5"/>
      <c r="Q34" s="6">
        <f>IF(Q19=0,0,MIN(Q19,Q29-Q30-Q32))</f>
        <v>0</v>
      </c>
      <c r="R34" s="5"/>
    </row>
    <row r="35" spans="1:18" x14ac:dyDescent="0.3">
      <c r="A35" s="41" t="s">
        <v>35</v>
      </c>
      <c r="B35" s="5"/>
      <c r="C35" s="6">
        <f>MIN(25%*C19-C34,C19,C4)</f>
        <v>0</v>
      </c>
      <c r="D35" s="5"/>
      <c r="E35" s="6">
        <f>MIN(25%*E19-E34,E19,E4)</f>
        <v>0</v>
      </c>
      <c r="F35" s="5"/>
      <c r="G35" s="6">
        <f>MIN(25%*G19-G34,G19,G4)</f>
        <v>0</v>
      </c>
      <c r="H35" s="5"/>
      <c r="I35" s="6">
        <f>MIN(25%*I19-I34,I19,I4)</f>
        <v>0</v>
      </c>
      <c r="J35" s="5"/>
      <c r="K35" s="6">
        <f>MIN(25%*K19-K34,K19,K4)</f>
        <v>0</v>
      </c>
      <c r="L35" s="5"/>
      <c r="M35" s="6">
        <f>MIN(25%*M19-M34,M19,M4)</f>
        <v>30</v>
      </c>
      <c r="N35" s="5"/>
      <c r="O35" s="6">
        <f>MIN(25%*O19-O34,O19,O4)</f>
        <v>0</v>
      </c>
      <c r="P35" s="5"/>
      <c r="Q35" s="6">
        <f>MIN(25%*Q19-Q34,Q19,Q4)</f>
        <v>0</v>
      </c>
      <c r="R35" s="5"/>
    </row>
    <row r="36" spans="1:18" x14ac:dyDescent="0.3">
      <c r="A36" s="81" t="s">
        <v>53</v>
      </c>
      <c r="B36" s="5"/>
      <c r="C36" s="6">
        <f>C37</f>
        <v>0</v>
      </c>
      <c r="D36" s="5"/>
      <c r="E36" s="6">
        <f>E37</f>
        <v>0</v>
      </c>
      <c r="F36" s="5"/>
      <c r="G36" s="6">
        <f>G37</f>
        <v>0</v>
      </c>
      <c r="H36" s="5"/>
      <c r="I36" s="6">
        <f>I37</f>
        <v>0</v>
      </c>
      <c r="J36" s="5"/>
      <c r="K36" s="6">
        <f>K37</f>
        <v>0</v>
      </c>
      <c r="L36" s="5"/>
      <c r="M36" s="6">
        <f>M37</f>
        <v>0</v>
      </c>
      <c r="N36" s="5"/>
      <c r="O36" s="6">
        <f>O37</f>
        <v>0</v>
      </c>
      <c r="P36" s="5"/>
      <c r="Q36" s="6">
        <f>Q37</f>
        <v>0</v>
      </c>
      <c r="R36" s="5"/>
    </row>
    <row r="37" spans="1:18" x14ac:dyDescent="0.3">
      <c r="A37" s="41" t="s">
        <v>44</v>
      </c>
      <c r="B37" s="5"/>
      <c r="C37" s="6">
        <f>MIN(C24,5)</f>
        <v>0</v>
      </c>
      <c r="D37" s="5"/>
      <c r="E37" s="6">
        <f>MIN(E24,5)</f>
        <v>0</v>
      </c>
      <c r="F37" s="5"/>
      <c r="G37" s="6">
        <f>MIN(G24,5)</f>
        <v>0</v>
      </c>
      <c r="H37" s="5"/>
      <c r="I37" s="6">
        <f>MIN(I24,5)</f>
        <v>0</v>
      </c>
      <c r="J37" s="5"/>
      <c r="K37" s="6">
        <f>MIN(K24,5)</f>
        <v>0</v>
      </c>
      <c r="L37" s="5"/>
      <c r="M37" s="6">
        <f>MIN(M24,5)</f>
        <v>0</v>
      </c>
      <c r="N37" s="5"/>
      <c r="O37" s="6">
        <f>MIN(O24,5)</f>
        <v>0</v>
      </c>
      <c r="P37" s="5"/>
      <c r="Q37" s="6">
        <f>MIN(Q24,5)</f>
        <v>0</v>
      </c>
      <c r="R37" s="5"/>
    </row>
    <row r="38" spans="1:18" x14ac:dyDescent="0.3">
      <c r="A38" s="39" t="s">
        <v>36</v>
      </c>
      <c r="B38" s="5"/>
      <c r="C38" s="10"/>
      <c r="D38" s="5"/>
      <c r="E38" s="10"/>
      <c r="F38" s="5"/>
      <c r="G38" s="10"/>
      <c r="H38" s="5"/>
      <c r="I38" s="10"/>
      <c r="J38" s="5"/>
      <c r="K38" s="10"/>
      <c r="L38" s="5"/>
      <c r="M38" s="10"/>
      <c r="N38" s="5"/>
      <c r="O38" s="10"/>
      <c r="P38" s="5"/>
      <c r="Q38" s="10"/>
      <c r="R38" s="5"/>
    </row>
    <row r="39" spans="1:18" x14ac:dyDescent="0.3">
      <c r="A39" s="41" t="s">
        <v>54</v>
      </c>
      <c r="B39" s="5"/>
      <c r="C39" s="6">
        <f>C30+C32+C34</f>
        <v>80</v>
      </c>
      <c r="D39" s="5"/>
      <c r="E39" s="6">
        <f>E30+E32+E34</f>
        <v>80</v>
      </c>
      <c r="F39" s="5"/>
      <c r="G39" s="6">
        <f>G30+G32+G34</f>
        <v>80</v>
      </c>
      <c r="H39" s="5"/>
      <c r="I39" s="6">
        <f>I30+I32+I34</f>
        <v>40</v>
      </c>
      <c r="J39" s="5"/>
      <c r="K39" s="6">
        <f>K30+K32+K34</f>
        <v>40</v>
      </c>
      <c r="L39" s="5"/>
      <c r="M39" s="6">
        <f>M30+M32+M34</f>
        <v>10</v>
      </c>
      <c r="N39" s="5"/>
      <c r="O39" s="6">
        <f>O30+O32+O34</f>
        <v>70</v>
      </c>
      <c r="P39" s="5"/>
      <c r="Q39" s="6">
        <f>Q30+Q32+Q34</f>
        <v>0</v>
      </c>
      <c r="R39" s="5"/>
    </row>
    <row r="40" spans="1:18" x14ac:dyDescent="0.3">
      <c r="A40" s="1" t="s">
        <v>14</v>
      </c>
      <c r="B40" s="5"/>
      <c r="C40" s="6">
        <f>C30+C31</f>
        <v>90</v>
      </c>
      <c r="D40" s="5"/>
      <c r="E40" s="6">
        <f>E30+E31</f>
        <v>50</v>
      </c>
      <c r="F40" s="5"/>
      <c r="G40" s="6">
        <f>G30+G31</f>
        <v>85</v>
      </c>
      <c r="H40" s="5"/>
      <c r="I40" s="6">
        <f>I30+I31</f>
        <v>0</v>
      </c>
      <c r="J40" s="5"/>
      <c r="K40" s="6">
        <f>K30+K31</f>
        <v>40</v>
      </c>
      <c r="L40" s="5"/>
      <c r="M40" s="6">
        <f>M30+M31</f>
        <v>0</v>
      </c>
      <c r="N40" s="5"/>
      <c r="O40" s="6">
        <f>O30+O31</f>
        <v>70</v>
      </c>
      <c r="P40" s="5"/>
      <c r="Q40" s="6">
        <f>Q30+Q31</f>
        <v>10</v>
      </c>
      <c r="R40" s="5"/>
    </row>
    <row r="41" spans="1:18" x14ac:dyDescent="0.3">
      <c r="A41" s="1" t="s">
        <v>15</v>
      </c>
      <c r="B41" s="5"/>
      <c r="C41" s="6">
        <f>C13</f>
        <v>0</v>
      </c>
      <c r="D41" s="5"/>
      <c r="E41" s="6">
        <f>E13</f>
        <v>0</v>
      </c>
      <c r="F41" s="5"/>
      <c r="G41" s="6">
        <f>G13</f>
        <v>0</v>
      </c>
      <c r="H41" s="5"/>
      <c r="I41" s="6">
        <f>I13</f>
        <v>0</v>
      </c>
      <c r="J41" s="5"/>
      <c r="K41" s="6">
        <f>K13</f>
        <v>0</v>
      </c>
      <c r="L41" s="5"/>
      <c r="M41" s="6">
        <f>M13</f>
        <v>0</v>
      </c>
      <c r="N41" s="5"/>
      <c r="O41" s="6">
        <f>O13</f>
        <v>0</v>
      </c>
      <c r="P41" s="5"/>
      <c r="Q41" s="6">
        <f>Q13</f>
        <v>0</v>
      </c>
      <c r="R41" s="5"/>
    </row>
    <row r="42" spans="1:18" x14ac:dyDescent="0.3">
      <c r="A42" s="1" t="s">
        <v>99</v>
      </c>
      <c r="B42" s="5"/>
      <c r="C42" s="6">
        <f>IF(C12=0,0,C12-C30-C31)</f>
        <v>340</v>
      </c>
      <c r="D42" s="5"/>
      <c r="E42" s="6">
        <f>IF(E12=0,0,E12-E30-E31)</f>
        <v>0</v>
      </c>
      <c r="F42" s="5"/>
      <c r="G42" s="6">
        <f>IF(G12=0,0,G12-G30-G31)</f>
        <v>5</v>
      </c>
      <c r="H42" s="5"/>
      <c r="I42" s="6">
        <f>IF(I12=0,0,I12-I30-I31)</f>
        <v>0</v>
      </c>
      <c r="J42" s="5"/>
      <c r="K42" s="6">
        <f>IF(K12=0,0,K12-K30-K31)</f>
        <v>0</v>
      </c>
      <c r="L42" s="5"/>
      <c r="M42" s="6">
        <f>IF(M12=0,0,M12-M30-M31)</f>
        <v>0</v>
      </c>
      <c r="N42" s="5"/>
      <c r="O42" s="6">
        <f>IF(O12=0,0,O12-O30-O31)</f>
        <v>0</v>
      </c>
      <c r="P42" s="5"/>
      <c r="Q42" s="6">
        <f>IF(Q12=0,0,Q12-Q30-Q31)</f>
        <v>65</v>
      </c>
      <c r="R42" s="5"/>
    </row>
    <row r="43" spans="1:18" x14ac:dyDescent="0.3">
      <c r="A43" s="1" t="s">
        <v>100</v>
      </c>
      <c r="B43" s="5"/>
      <c r="C43" s="6">
        <f>IF(C31&lt;&gt;C2,C32+C33,IF(C33=C3,0,C32+C33))</f>
        <v>0</v>
      </c>
      <c r="D43" s="5"/>
      <c r="E43" s="6">
        <f>IF(E31&lt;&gt;E2,E32+E33,IF(E33=E3,0,E32+E33))</f>
        <v>40</v>
      </c>
      <c r="F43" s="5"/>
      <c r="G43" s="6">
        <f>IF(G31&lt;&gt;G2,G32+G33,IF(G33=G3,0,G32+G33))</f>
        <v>0</v>
      </c>
      <c r="H43" s="5"/>
      <c r="I43" s="6">
        <f>IF(I31&lt;&gt;I2,I32+I33,IF(I33=I3,0,I32+I33))</f>
        <v>60</v>
      </c>
      <c r="J43" s="5"/>
      <c r="K43" s="6">
        <f>IF(K31&lt;&gt;K2,K32+K33,IF(K33=K3,0,K32+K33))</f>
        <v>0</v>
      </c>
      <c r="L43" s="5"/>
      <c r="M43" s="6">
        <f>IF(M31&lt;&gt;M2,M32+M33,IF(M33=M3,0,M32+M33))</f>
        <v>0</v>
      </c>
      <c r="N43" s="5"/>
      <c r="O43" s="6">
        <f>IF(O31&lt;&gt;O2,O32+O33,IF(O33=O3,0,O32+O33))</f>
        <v>0</v>
      </c>
      <c r="P43" s="5"/>
      <c r="Q43" s="6">
        <f>IF(Q31&lt;&gt;Q2,Q32+Q33,IF(Q33=Q3,0,Q32+Q33))</f>
        <v>0</v>
      </c>
      <c r="R43" s="5"/>
    </row>
    <row r="44" spans="1:18" x14ac:dyDescent="0.3">
      <c r="A44" s="1" t="s">
        <v>101</v>
      </c>
      <c r="B44" s="5"/>
      <c r="C44" s="6">
        <f>C16</f>
        <v>0</v>
      </c>
      <c r="D44" s="5"/>
      <c r="E44" s="6">
        <f>E16</f>
        <v>712.5</v>
      </c>
      <c r="F44" s="5"/>
      <c r="G44" s="6">
        <f>G16</f>
        <v>0</v>
      </c>
      <c r="H44" s="5"/>
      <c r="I44" s="6">
        <f>I16</f>
        <v>322.5</v>
      </c>
      <c r="J44" s="5"/>
      <c r="K44" s="6">
        <f>K16</f>
        <v>0</v>
      </c>
      <c r="L44" s="5"/>
      <c r="M44" s="6">
        <f>M16</f>
        <v>0</v>
      </c>
      <c r="N44" s="5"/>
      <c r="O44" s="6">
        <f>O16</f>
        <v>0</v>
      </c>
      <c r="P44" s="5"/>
      <c r="Q44" s="6">
        <f>Q16</f>
        <v>318.75</v>
      </c>
      <c r="R44" s="5"/>
    </row>
    <row r="45" spans="1:18" x14ac:dyDescent="0.3">
      <c r="A45" s="1" t="s">
        <v>102</v>
      </c>
      <c r="B45" s="5"/>
      <c r="C45" s="6">
        <f>C14-C43-C44</f>
        <v>0</v>
      </c>
      <c r="D45" s="5"/>
      <c r="E45" s="6">
        <f>E14-E43-E44</f>
        <v>197.5</v>
      </c>
      <c r="F45" s="5"/>
      <c r="G45" s="6">
        <f>G14-G43-G44</f>
        <v>0</v>
      </c>
      <c r="H45" s="5"/>
      <c r="I45" s="6">
        <f>I14-I43-I44</f>
        <v>47.5</v>
      </c>
      <c r="J45" s="5"/>
      <c r="K45" s="6">
        <f>K14-K43-K44</f>
        <v>0</v>
      </c>
      <c r="L45" s="5"/>
      <c r="M45" s="6">
        <f>M14-M43-M44</f>
        <v>0</v>
      </c>
      <c r="N45" s="5"/>
      <c r="O45" s="6">
        <f>O14-O43-O44</f>
        <v>0</v>
      </c>
      <c r="P45" s="5"/>
      <c r="Q45" s="6">
        <f>Q14-Q43-Q44</f>
        <v>106.25</v>
      </c>
      <c r="R45" s="5"/>
    </row>
    <row r="46" spans="1:18" x14ac:dyDescent="0.3">
      <c r="A46" s="1" t="s">
        <v>103</v>
      </c>
      <c r="B46" s="5"/>
      <c r="C46" s="6">
        <f>IF(C33&lt;&gt;C3,C34+C35+C22,IF(C35=C4,C22,C34+C35+C22))</f>
        <v>0</v>
      </c>
      <c r="D46" s="5"/>
      <c r="E46" s="6">
        <f>IF(E33&lt;&gt;E3,E34+E35+E22,IF(E35=E4,E22,E34+E35+E22))</f>
        <v>0</v>
      </c>
      <c r="F46" s="5"/>
      <c r="G46" s="6">
        <f>IF(G33&lt;&gt;G3,G34+G35+G22,IF(G35=G4,G22,G34+G35+G22))</f>
        <v>0</v>
      </c>
      <c r="H46" s="5"/>
      <c r="I46" s="6">
        <f>IF(I33&lt;&gt;I3,I34+I35+I22,IF(I35=I4,I22,I34+I35+I22))</f>
        <v>0</v>
      </c>
      <c r="J46" s="5"/>
      <c r="K46" s="6">
        <f>IF(K33&lt;&gt;K3,K34+K35+K22,IF(K35=K4,K22,K34+K35+K22))</f>
        <v>0</v>
      </c>
      <c r="L46" s="5"/>
      <c r="M46" s="6">
        <f>IF(M33&lt;&gt;M3,M34+M35+M22,IF(M35=M4,M22,M34+M35+M22))</f>
        <v>390</v>
      </c>
      <c r="N46" s="5"/>
      <c r="O46" s="6">
        <f>IF(O33&lt;&gt;O3,O34+O35+O22,IF(O35=O4,O22,O34+O35+O22))</f>
        <v>0</v>
      </c>
      <c r="P46" s="5"/>
      <c r="Q46" s="6">
        <f>IF(Q33&lt;&gt;Q3,Q34+Q35+Q22,IF(Q35=Q4,Q22,Q34+Q35+Q22))</f>
        <v>0</v>
      </c>
      <c r="R46" s="5"/>
    </row>
    <row r="47" spans="1:18" x14ac:dyDescent="0.3">
      <c r="A47" s="1" t="s">
        <v>104</v>
      </c>
      <c r="B47" s="5"/>
      <c r="C47" s="6">
        <f>C23</f>
        <v>0</v>
      </c>
      <c r="D47" s="5"/>
      <c r="E47" s="6">
        <f>E23</f>
        <v>0</v>
      </c>
      <c r="F47" s="5"/>
      <c r="G47" s="6">
        <f>G23</f>
        <v>0</v>
      </c>
      <c r="H47" s="5"/>
      <c r="I47" s="6">
        <f>I23</f>
        <v>0</v>
      </c>
      <c r="J47" s="5"/>
      <c r="K47" s="6">
        <f>K23</f>
        <v>0</v>
      </c>
      <c r="L47" s="5"/>
      <c r="M47" s="6">
        <f>M23</f>
        <v>25</v>
      </c>
      <c r="N47" s="5"/>
      <c r="O47" s="6">
        <f>O23</f>
        <v>0</v>
      </c>
      <c r="P47" s="5"/>
      <c r="Q47" s="6">
        <f>Q23</f>
        <v>0</v>
      </c>
      <c r="R47" s="5"/>
    </row>
    <row r="48" spans="1:18" x14ac:dyDescent="0.3">
      <c r="A48" s="1" t="s">
        <v>105</v>
      </c>
      <c r="B48" s="5"/>
      <c r="C48" s="6">
        <f>IF(C9+C40+C43+C46&lt;7050,C19-C46-C47+C24,C19-C46-C47)</f>
        <v>0</v>
      </c>
      <c r="D48" s="5"/>
      <c r="E48" s="6">
        <f>IF(E9+E40+E43+E46&lt;7050,E19-E46-E47+E24,E19-E46-E47)</f>
        <v>0</v>
      </c>
      <c r="F48" s="5"/>
      <c r="G48" s="6">
        <f>IF(G9+G40+G43+G46&lt;7050,G19-G46-G47+G24,G19-G46-G47)</f>
        <v>0</v>
      </c>
      <c r="H48" s="5"/>
      <c r="I48" s="6">
        <f>IF(I9+I40+I43+I46&lt;7050,I19-I46-I47+I24,I19-I46-I47)</f>
        <v>0</v>
      </c>
      <c r="J48" s="5"/>
      <c r="K48" s="6">
        <f>IF(K9+K40+K43+K46&lt;7050,K19-K46-K47+K24,K19-K46-K47)</f>
        <v>0</v>
      </c>
      <c r="L48" s="5"/>
      <c r="M48" s="6">
        <f>IF(M9+M40+M43+M46&lt;7050,M19-M46-M47+M24,M19-M46-M47)</f>
        <v>85</v>
      </c>
      <c r="N48" s="5"/>
      <c r="O48" s="6">
        <f>IF(O9+O40+O43+O46&lt;7050,O19-O46-O47+O24,O19-O46-O47)</f>
        <v>0</v>
      </c>
      <c r="P48" s="5"/>
      <c r="Q48" s="6">
        <f>IF(Q9+Q40+Q43+Q46&lt;7050,Q19-Q46-Q47+Q24,Q19-Q46-Q47)</f>
        <v>0</v>
      </c>
      <c r="R48" s="5"/>
    </row>
    <row r="49" spans="1:18" x14ac:dyDescent="0.3">
      <c r="A49" s="1" t="s">
        <v>106</v>
      </c>
      <c r="B49" s="5"/>
      <c r="C49" s="6">
        <f>IF(C9+C40+C43+C46&lt;7050,0,C37)</f>
        <v>0</v>
      </c>
      <c r="D49" s="5"/>
      <c r="E49" s="6">
        <f>IF(E9+E40+E43+E46&lt;7050,0,E37)</f>
        <v>0</v>
      </c>
      <c r="F49" s="5"/>
      <c r="G49" s="6">
        <f>IF(G9+G40+G43+G46&lt;7050,0,G37)</f>
        <v>0</v>
      </c>
      <c r="H49" s="5"/>
      <c r="I49" s="6">
        <f>IF(I9+I40+I43+I46&lt;7050,0,I37)</f>
        <v>0</v>
      </c>
      <c r="J49" s="5"/>
      <c r="K49" s="6">
        <f>IF(K9+K40+K43+K46&lt;7050,0,K37)</f>
        <v>0</v>
      </c>
      <c r="L49" s="5"/>
      <c r="M49" s="6">
        <f>IF(M9+M40+M43+M46&lt;7050,0,M37)</f>
        <v>0</v>
      </c>
      <c r="N49" s="5"/>
      <c r="O49" s="6">
        <f>IF(O9+O40+O43+O46&lt;7050,0,O37)</f>
        <v>0</v>
      </c>
      <c r="P49" s="5"/>
      <c r="Q49" s="6">
        <f>IF(Q9+Q40+Q43+Q46&lt;7050,0,Q37)</f>
        <v>0</v>
      </c>
      <c r="R49" s="5"/>
    </row>
    <row r="50" spans="1:18" x14ac:dyDescent="0.3">
      <c r="A50" s="1" t="s">
        <v>107</v>
      </c>
      <c r="B50" s="5"/>
      <c r="C50" s="6">
        <f>IF(C9+C40+C43+C46&lt;7050,0,C26)</f>
        <v>0</v>
      </c>
      <c r="D50" s="5"/>
      <c r="E50" s="6">
        <f>IF(E9+E40+E43+E46&lt;7050,0,E26)</f>
        <v>0</v>
      </c>
      <c r="F50" s="5"/>
      <c r="G50" s="6">
        <f>IF(G9+G40+G43+G46&lt;7050,0,G26)</f>
        <v>0</v>
      </c>
      <c r="H50" s="5"/>
      <c r="I50" s="6">
        <f>IF(I9+I40+I43+I46&lt;7050,0,I26)</f>
        <v>0</v>
      </c>
      <c r="J50" s="5"/>
      <c r="K50" s="6">
        <f>IF(K9+K40+K43+K46&lt;7050,0,K26)</f>
        <v>0</v>
      </c>
      <c r="L50" s="5"/>
      <c r="M50" s="6">
        <f>IF(M9+M40+M43+M46&lt;7050,0,M26)</f>
        <v>0</v>
      </c>
      <c r="N50" s="5"/>
      <c r="O50" s="6">
        <f>IF(O9+O40+O43+O46&lt;7050,0,O26)</f>
        <v>0</v>
      </c>
      <c r="P50" s="5"/>
      <c r="Q50" s="6">
        <f>IF(Q9+Q40+Q43+Q46&lt;7050,0,Q26)</f>
        <v>0</v>
      </c>
      <c r="R50" s="5"/>
    </row>
    <row r="51" spans="1:18" x14ac:dyDescent="0.3">
      <c r="A51" s="1" t="s">
        <v>108</v>
      </c>
      <c r="B51" s="5"/>
      <c r="C51" s="6">
        <f>IF(C9+C40+C43+C46&lt;7050,0,C25-C37)</f>
        <v>0</v>
      </c>
      <c r="D51" s="5"/>
      <c r="E51" s="6">
        <f>IF(E9+E40+E43+E46&lt;7050,0,E25-E37)</f>
        <v>0</v>
      </c>
      <c r="F51" s="5"/>
      <c r="G51" s="6">
        <f>IF(G9+G40+G43+G46&lt;7050,0,G25-G37)</f>
        <v>0</v>
      </c>
      <c r="H51" s="5"/>
      <c r="I51" s="6">
        <f>IF(I9+I40+I43+I46&lt;7050,0,I25-I37)</f>
        <v>0</v>
      </c>
      <c r="J51" s="5"/>
      <c r="K51" s="6">
        <f>IF(K9+K40+K43+K46&lt;7050,0,K25-K37)</f>
        <v>0</v>
      </c>
      <c r="L51" s="5"/>
      <c r="M51" s="6">
        <f>IF(M9+M40+M43+M46&lt;7050,0,M25-M37)</f>
        <v>0</v>
      </c>
      <c r="N51" s="5"/>
      <c r="O51" s="6">
        <f>IF(O9+O40+O43+O46&lt;7050,0,O25-O37)</f>
        <v>0</v>
      </c>
      <c r="P51" s="5"/>
      <c r="Q51" s="6">
        <f>IF(Q9+Q40+Q43+Q46&lt;7050,0,Q25-Q37)</f>
        <v>0</v>
      </c>
      <c r="R51" s="5"/>
    </row>
    <row r="52" spans="1:18" x14ac:dyDescent="0.3">
      <c r="A52" s="39" t="s">
        <v>3</v>
      </c>
      <c r="B52" s="5"/>
      <c r="C52" s="10"/>
      <c r="D52" s="5"/>
      <c r="E52" s="10"/>
      <c r="F52" s="5"/>
      <c r="G52" s="10"/>
      <c r="H52" s="5"/>
      <c r="I52" s="10"/>
      <c r="J52" s="5"/>
      <c r="K52" s="10"/>
      <c r="L52" s="5"/>
      <c r="M52" s="10"/>
      <c r="N52" s="5"/>
      <c r="O52" s="10"/>
      <c r="P52" s="5"/>
      <c r="Q52" s="10"/>
      <c r="R52" s="5"/>
    </row>
    <row r="53" spans="1:18" s="29" customFormat="1" x14ac:dyDescent="0.3">
      <c r="A53" s="82" t="s">
        <v>45</v>
      </c>
      <c r="B53" s="5"/>
      <c r="C53" s="9">
        <f>C40+C43+C46</f>
        <v>90</v>
      </c>
      <c r="D53" s="5"/>
      <c r="E53" s="9">
        <f>E40+E43+E46</f>
        <v>90</v>
      </c>
      <c r="F53" s="5"/>
      <c r="G53" s="9">
        <f>G40+G43+G46</f>
        <v>85</v>
      </c>
      <c r="H53" s="5"/>
      <c r="I53" s="9">
        <f>I40+I43+I46</f>
        <v>60</v>
      </c>
      <c r="J53" s="5"/>
      <c r="K53" s="9">
        <f>K40+K43+K46</f>
        <v>40</v>
      </c>
      <c r="L53" s="5"/>
      <c r="M53" s="9">
        <f>M40+M43+M46</f>
        <v>390</v>
      </c>
      <c r="N53" s="5"/>
      <c r="O53" s="9">
        <f>O40+O43+O46</f>
        <v>70</v>
      </c>
      <c r="P53" s="5"/>
      <c r="Q53" s="9">
        <f>Q40+Q43+Q46</f>
        <v>10</v>
      </c>
      <c r="R53" s="5"/>
    </row>
    <row r="54" spans="1:18" x14ac:dyDescent="0.3">
      <c r="A54" s="43" t="s">
        <v>2</v>
      </c>
      <c r="B54" s="5"/>
      <c r="C54" s="9">
        <f>C40+C43+C46+C49-C55</f>
        <v>90</v>
      </c>
      <c r="D54" s="5"/>
      <c r="E54" s="9">
        <f>E40+E43+E46+E49-E55</f>
        <v>90</v>
      </c>
      <c r="F54" s="5"/>
      <c r="G54" s="9">
        <f>G40+G43+G46+G49-G55</f>
        <v>85</v>
      </c>
      <c r="H54" s="5"/>
      <c r="I54" s="9">
        <f>I40+I43+I46+I49-I55</f>
        <v>60</v>
      </c>
      <c r="J54" s="5"/>
      <c r="K54" s="9">
        <f>K40+K43+K46+K49-K55</f>
        <v>40</v>
      </c>
      <c r="L54" s="5"/>
      <c r="M54" s="9">
        <f>M40+M43+M46+M49-M55</f>
        <v>40</v>
      </c>
      <c r="N54" s="5"/>
      <c r="O54" s="9">
        <f>O40+O43+O46+O49-O55</f>
        <v>70</v>
      </c>
      <c r="P54" s="5"/>
      <c r="Q54" s="9">
        <f>Q40+Q43+Q46+Q49-Q55</f>
        <v>10</v>
      </c>
      <c r="R54" s="5"/>
    </row>
    <row r="55" spans="1:18" x14ac:dyDescent="0.3">
      <c r="A55" s="44" t="s">
        <v>11</v>
      </c>
      <c r="B55" s="5"/>
      <c r="C55" s="6">
        <f>C22</f>
        <v>0</v>
      </c>
      <c r="D55" s="5"/>
      <c r="E55" s="6">
        <f>E22</f>
        <v>0</v>
      </c>
      <c r="F55" s="5"/>
      <c r="G55" s="6">
        <f>G22</f>
        <v>0</v>
      </c>
      <c r="H55" s="5"/>
      <c r="I55" s="6">
        <f>I22</f>
        <v>0</v>
      </c>
      <c r="J55" s="5"/>
      <c r="K55" s="6">
        <f>K22</f>
        <v>0</v>
      </c>
      <c r="L55" s="5"/>
      <c r="M55" s="6">
        <f>M22</f>
        <v>350</v>
      </c>
      <c r="N55" s="5"/>
      <c r="O55" s="6">
        <f>O22</f>
        <v>0</v>
      </c>
      <c r="P55" s="5"/>
      <c r="Q55" s="6">
        <f>Q22</f>
        <v>0</v>
      </c>
      <c r="R55" s="5"/>
    </row>
    <row r="56" spans="1:18" x14ac:dyDescent="0.3">
      <c r="A56" s="43" t="s">
        <v>5</v>
      </c>
      <c r="B56" s="5"/>
      <c r="C56" s="9">
        <f>C41+C44+C47+C50</f>
        <v>0</v>
      </c>
      <c r="D56" s="5"/>
      <c r="E56" s="9">
        <f>E41+E44+E47+E50</f>
        <v>712.5</v>
      </c>
      <c r="F56" s="5"/>
      <c r="G56" s="9">
        <f>G41+G44+G47+G50</f>
        <v>0</v>
      </c>
      <c r="H56" s="5"/>
      <c r="I56" s="9">
        <f>I41+I44+I47+I50</f>
        <v>322.5</v>
      </c>
      <c r="J56" s="5"/>
      <c r="K56" s="9">
        <f>K41+K44+K47+K50</f>
        <v>0</v>
      </c>
      <c r="L56" s="5"/>
      <c r="M56" s="9">
        <f>M41+M44+M47+M50</f>
        <v>25</v>
      </c>
      <c r="N56" s="5"/>
      <c r="O56" s="9">
        <f>O41+O44+O47+O50</f>
        <v>0</v>
      </c>
      <c r="P56" s="5"/>
      <c r="Q56" s="9">
        <f>Q41+Q44+Q47+Q50</f>
        <v>318.75</v>
      </c>
      <c r="R56" s="5"/>
    </row>
    <row r="57" spans="1:18" x14ac:dyDescent="0.3">
      <c r="A57" s="43" t="s">
        <v>7</v>
      </c>
      <c r="B57" s="5"/>
      <c r="C57" s="12">
        <f>C42+C45+C48+C51</f>
        <v>340</v>
      </c>
      <c r="D57" s="5"/>
      <c r="E57" s="34">
        <f>E42+E45+E48+E51</f>
        <v>197.5</v>
      </c>
      <c r="F57" s="5"/>
      <c r="G57" s="12">
        <f>G42+G45+G48+G51</f>
        <v>5</v>
      </c>
      <c r="H57" s="5"/>
      <c r="I57" s="12">
        <f>I42+I45+I48+I51</f>
        <v>47.5</v>
      </c>
      <c r="J57" s="5"/>
      <c r="K57" s="12">
        <f>K42+K45+K48+K51</f>
        <v>0</v>
      </c>
      <c r="L57" s="5"/>
      <c r="M57" s="12">
        <f>M42+M45+M48+M51</f>
        <v>85</v>
      </c>
      <c r="N57" s="5"/>
      <c r="O57" s="12">
        <f>O42+O45+O48+O51</f>
        <v>0</v>
      </c>
      <c r="P57" s="5"/>
      <c r="Q57" s="12">
        <f>Q42+Q45+Q48+Q51</f>
        <v>171.25</v>
      </c>
      <c r="R57" s="5"/>
    </row>
    <row r="58" spans="1:18" x14ac:dyDescent="0.3">
      <c r="A58" s="43"/>
      <c r="B58" s="5"/>
      <c r="C58" s="12"/>
      <c r="D58" s="5"/>
      <c r="E58" s="12"/>
      <c r="F58" s="5"/>
      <c r="G58" s="12"/>
      <c r="H58" s="5"/>
      <c r="I58" s="12"/>
      <c r="J58" s="5"/>
      <c r="K58" s="12"/>
      <c r="L58" s="5"/>
      <c r="M58" s="12"/>
      <c r="N58" s="5"/>
      <c r="O58" s="12"/>
      <c r="P58" s="5"/>
      <c r="Q58" s="12"/>
      <c r="R58" s="5"/>
    </row>
    <row r="59" spans="1:18" x14ac:dyDescent="0.3">
      <c r="A59" s="45" t="s">
        <v>4</v>
      </c>
      <c r="B59" s="5"/>
      <c r="C59" s="13">
        <f>SUM(C54:C57)</f>
        <v>430</v>
      </c>
      <c r="D59" s="5"/>
      <c r="E59" s="13">
        <f>SUM(E54:E57)</f>
        <v>1000</v>
      </c>
      <c r="F59" s="5"/>
      <c r="G59" s="13">
        <f>SUM(G54:G57)</f>
        <v>90</v>
      </c>
      <c r="H59" s="5"/>
      <c r="I59" s="13">
        <f>SUM(I54:I57)</f>
        <v>430</v>
      </c>
      <c r="J59" s="5"/>
      <c r="K59" s="13">
        <f>SUM(K54:K57)</f>
        <v>40</v>
      </c>
      <c r="L59" s="5"/>
      <c r="M59" s="13">
        <f>SUM(M54:M57)</f>
        <v>500</v>
      </c>
      <c r="N59" s="5"/>
      <c r="O59" s="13">
        <f>SUM(O54:O57)</f>
        <v>70</v>
      </c>
      <c r="P59" s="5"/>
      <c r="Q59" s="13">
        <f>SUM(Q54:Q57)</f>
        <v>500</v>
      </c>
      <c r="R59" s="5"/>
    </row>
    <row r="60" spans="1:18" x14ac:dyDescent="0.3">
      <c r="A60" s="14"/>
      <c r="B60" s="5"/>
      <c r="C60" s="16"/>
      <c r="D60" s="5"/>
      <c r="E60" s="16"/>
      <c r="F60" s="5"/>
      <c r="G60" s="16"/>
      <c r="H60" s="5"/>
      <c r="I60" s="16"/>
      <c r="J60" s="5"/>
      <c r="K60" s="16"/>
      <c r="L60" s="5"/>
      <c r="M60" s="16"/>
      <c r="N60" s="5"/>
      <c r="O60" s="16"/>
      <c r="P60" s="5"/>
      <c r="Q60" s="16"/>
      <c r="R60" s="5"/>
    </row>
    <row r="61" spans="1:18" x14ac:dyDescent="0.3">
      <c r="A61" s="22" t="s">
        <v>37</v>
      </c>
      <c r="B61" s="5"/>
      <c r="C61" s="16"/>
      <c r="D61" s="5"/>
      <c r="E61" s="16"/>
      <c r="F61" s="5"/>
      <c r="G61" s="16"/>
      <c r="H61" s="5"/>
      <c r="I61" s="30"/>
      <c r="J61" s="5"/>
      <c r="K61" s="30"/>
      <c r="L61" s="5"/>
      <c r="M61" s="31"/>
      <c r="N61" s="5"/>
      <c r="O61" s="30"/>
      <c r="P61" s="5"/>
      <c r="Q61" s="30"/>
      <c r="R61" s="5"/>
    </row>
    <row r="62" spans="1:18" x14ac:dyDescent="0.3">
      <c r="A62" s="24" t="s">
        <v>39</v>
      </c>
      <c r="B62" s="5"/>
      <c r="C62" s="26">
        <f>SUM(C56)</f>
        <v>0</v>
      </c>
      <c r="D62" s="5"/>
      <c r="E62" s="26">
        <f>SUM(E56)</f>
        <v>712.5</v>
      </c>
      <c r="F62" s="5"/>
      <c r="G62" s="26">
        <f>SUM(G56)</f>
        <v>0</v>
      </c>
      <c r="H62" s="5"/>
      <c r="I62" s="26">
        <f>SUM(I56)</f>
        <v>322.5</v>
      </c>
      <c r="J62" s="5"/>
      <c r="K62" s="26">
        <f>SUM(K56)</f>
        <v>0</v>
      </c>
      <c r="L62" s="5"/>
      <c r="M62" s="26">
        <f>SUM(M56)</f>
        <v>25</v>
      </c>
      <c r="N62" s="5"/>
      <c r="O62" s="26">
        <f>SUM(O56)</f>
        <v>0</v>
      </c>
      <c r="P62" s="5"/>
      <c r="Q62" s="26">
        <f>SUM(Q56)</f>
        <v>318.75</v>
      </c>
      <c r="R62" s="5"/>
    </row>
    <row r="63" spans="1:18" x14ac:dyDescent="0.3">
      <c r="A63" s="25" t="s">
        <v>40</v>
      </c>
      <c r="B63" s="5"/>
      <c r="C63" s="26">
        <v>0</v>
      </c>
      <c r="D63" s="5"/>
      <c r="E63" s="26">
        <v>0</v>
      </c>
      <c r="F63" s="5"/>
      <c r="G63" s="26">
        <v>0</v>
      </c>
      <c r="H63" s="5"/>
      <c r="I63" s="26">
        <v>0</v>
      </c>
      <c r="J63" s="5"/>
      <c r="K63" s="26">
        <v>0</v>
      </c>
      <c r="L63" s="5"/>
      <c r="M63" s="26">
        <v>0</v>
      </c>
      <c r="N63" s="5"/>
      <c r="O63" s="26">
        <v>0</v>
      </c>
      <c r="P63" s="5"/>
      <c r="Q63" s="26">
        <v>0</v>
      </c>
      <c r="R63" s="5"/>
    </row>
    <row r="64" spans="1:18" x14ac:dyDescent="0.3">
      <c r="A64" s="46" t="s">
        <v>41</v>
      </c>
      <c r="B64" s="5"/>
      <c r="C64" s="17"/>
      <c r="D64" s="5"/>
      <c r="E64" s="17"/>
      <c r="F64" s="5"/>
      <c r="G64" s="17"/>
      <c r="H64" s="5"/>
      <c r="I64" s="17"/>
      <c r="J64" s="5"/>
      <c r="K64" s="17"/>
      <c r="L64" s="5"/>
      <c r="M64" s="17"/>
      <c r="N64" s="5"/>
      <c r="O64" s="17"/>
      <c r="P64" s="5"/>
      <c r="Q64" s="17"/>
      <c r="R64" s="5"/>
    </row>
    <row r="65" spans="1:18" ht="52" x14ac:dyDescent="0.3">
      <c r="A65" s="47" t="s">
        <v>42</v>
      </c>
      <c r="B65" s="5"/>
      <c r="C65" s="27">
        <f>C54+0+0+C55+C57+C62+C63</f>
        <v>430</v>
      </c>
      <c r="D65" s="5"/>
      <c r="E65" s="27">
        <f>E54+0+0+E55+E57+E62+E63</f>
        <v>1000</v>
      </c>
      <c r="F65" s="5"/>
      <c r="G65" s="27">
        <f>G54+0+0+G55+G57+G62+G63</f>
        <v>90</v>
      </c>
      <c r="H65" s="5"/>
      <c r="I65" s="27">
        <f>I54+0+0+I55+I57+I62+I63</f>
        <v>430</v>
      </c>
      <c r="J65" s="5"/>
      <c r="K65" s="27">
        <f>K54+0+0+K55+K57+K62+K63</f>
        <v>40</v>
      </c>
      <c r="L65" s="5"/>
      <c r="M65" s="27">
        <f>M54+0+0+M55+M57+M62+M63</f>
        <v>500</v>
      </c>
      <c r="N65" s="5"/>
      <c r="O65" s="27">
        <f>O54+0+0+O55+O57+O62+O63</f>
        <v>70</v>
      </c>
      <c r="P65" s="5"/>
      <c r="Q65" s="27">
        <f>Q54+0+0+Q55+Q57+Q62+Q63</f>
        <v>500</v>
      </c>
      <c r="R65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60"/>
  <sheetViews>
    <sheetView zoomScale="80" zoomScaleNormal="80" workbookViewId="0">
      <pane xSplit="2" ySplit="1" topLeftCell="J25" activePane="bottomRight" state="frozen"/>
      <selection pane="topRight" activeCell="C1" sqref="C1"/>
      <selection pane="bottomLeft" activeCell="A2" sqref="A2"/>
      <selection pane="bottomRight" activeCell="Q30" sqref="Q30"/>
    </sheetView>
  </sheetViews>
  <sheetFormatPr defaultColWidth="9.1796875" defaultRowHeight="13" x14ac:dyDescent="0.3"/>
  <cols>
    <col min="1" max="1" width="64" style="4" customWidth="1"/>
    <col min="2" max="2" width="3.26953125" style="4" customWidth="1"/>
    <col min="3" max="3" width="19.7265625" style="18" customWidth="1"/>
    <col min="4" max="4" width="3.26953125" style="4" customWidth="1"/>
    <col min="5" max="5" width="28.7265625" style="18" customWidth="1"/>
    <col min="6" max="6" width="18.81640625" style="18" customWidth="1"/>
    <col min="7" max="7" width="3.26953125" style="4" customWidth="1"/>
    <col min="8" max="8" width="28" style="18" customWidth="1"/>
    <col min="9" max="9" width="20.1796875" style="18" customWidth="1"/>
    <col min="10" max="10" width="3.26953125" style="4" customWidth="1"/>
    <col min="11" max="11" width="26.1796875" style="18" customWidth="1"/>
    <col min="12" max="12" width="21.81640625" style="18" customWidth="1"/>
    <col min="13" max="13" width="3.26953125" style="4" customWidth="1"/>
    <col min="14" max="14" width="27" style="18" customWidth="1"/>
    <col min="15" max="15" width="21.81640625" style="18" customWidth="1"/>
    <col min="16" max="16" width="3.26953125" style="4" customWidth="1"/>
    <col min="17" max="17" width="21.81640625" style="18" customWidth="1"/>
    <col min="18" max="18" width="3.26953125" style="4" customWidth="1"/>
    <col min="19" max="16384" width="9.1796875" style="4"/>
  </cols>
  <sheetData>
    <row r="1" spans="1:18" ht="159" customHeight="1" x14ac:dyDescent="0.3">
      <c r="A1" s="21" t="s">
        <v>83</v>
      </c>
      <c r="B1" s="2"/>
      <c r="C1" s="3" t="s">
        <v>55</v>
      </c>
      <c r="D1" s="2"/>
      <c r="E1" s="20" t="s">
        <v>130</v>
      </c>
      <c r="F1" s="3" t="s">
        <v>74</v>
      </c>
      <c r="G1" s="2"/>
      <c r="H1" s="20" t="s">
        <v>130</v>
      </c>
      <c r="I1" s="3" t="s">
        <v>75</v>
      </c>
      <c r="J1" s="2"/>
      <c r="K1" s="20" t="s">
        <v>131</v>
      </c>
      <c r="L1" s="3" t="s">
        <v>76</v>
      </c>
      <c r="M1" s="2"/>
      <c r="N1" s="20" t="s">
        <v>131</v>
      </c>
      <c r="O1" s="3" t="s">
        <v>77</v>
      </c>
      <c r="P1" s="2"/>
      <c r="Q1" s="3" t="s">
        <v>78</v>
      </c>
      <c r="R1" s="2"/>
    </row>
    <row r="2" spans="1:18" x14ac:dyDescent="0.3">
      <c r="A2" s="82" t="s">
        <v>65</v>
      </c>
      <c r="B2" s="5"/>
      <c r="C2" s="6" t="s">
        <v>31</v>
      </c>
      <c r="D2" s="7"/>
      <c r="E2" s="6" t="s">
        <v>31</v>
      </c>
      <c r="F2" s="6" t="s">
        <v>31</v>
      </c>
      <c r="G2" s="5"/>
      <c r="H2" s="6" t="s">
        <v>31</v>
      </c>
      <c r="I2" s="6" t="s">
        <v>31</v>
      </c>
      <c r="J2" s="5"/>
      <c r="K2" s="6" t="s">
        <v>31</v>
      </c>
      <c r="L2" s="6" t="s">
        <v>31</v>
      </c>
      <c r="M2" s="5"/>
      <c r="N2" s="6" t="s">
        <v>31</v>
      </c>
      <c r="O2" s="6" t="s">
        <v>31</v>
      </c>
      <c r="P2" s="5"/>
      <c r="Q2" s="6" t="s">
        <v>31</v>
      </c>
      <c r="R2" s="5"/>
    </row>
    <row r="3" spans="1:18" x14ac:dyDescent="0.3">
      <c r="A3" s="36" t="s">
        <v>29</v>
      </c>
      <c r="B3" s="5"/>
      <c r="C3" s="6">
        <v>20</v>
      </c>
      <c r="D3" s="7"/>
      <c r="E3" s="87" t="s">
        <v>31</v>
      </c>
      <c r="F3" s="6">
        <v>20</v>
      </c>
      <c r="G3" s="5"/>
      <c r="H3" s="87" t="s">
        <v>31</v>
      </c>
      <c r="I3" s="6">
        <v>20</v>
      </c>
      <c r="J3" s="5"/>
      <c r="K3" s="87" t="s">
        <v>31</v>
      </c>
      <c r="L3" s="6">
        <v>20</v>
      </c>
      <c r="M3" s="5"/>
      <c r="N3" s="87" t="s">
        <v>31</v>
      </c>
      <c r="O3" s="6">
        <v>20</v>
      </c>
      <c r="P3" s="5"/>
      <c r="Q3" s="6">
        <v>20</v>
      </c>
      <c r="R3" s="5"/>
    </row>
    <row r="4" spans="1:18" x14ac:dyDescent="0.3">
      <c r="A4" s="36" t="s">
        <v>30</v>
      </c>
      <c r="B4" s="5"/>
      <c r="C4" s="6">
        <v>30</v>
      </c>
      <c r="D4" s="7"/>
      <c r="E4" s="87" t="s">
        <v>31</v>
      </c>
      <c r="F4" s="6">
        <v>30</v>
      </c>
      <c r="G4" s="5"/>
      <c r="H4" s="87" t="s">
        <v>31</v>
      </c>
      <c r="I4" s="6">
        <v>30</v>
      </c>
      <c r="J4" s="5"/>
      <c r="K4" s="87" t="s">
        <v>31</v>
      </c>
      <c r="L4" s="6">
        <v>30</v>
      </c>
      <c r="M4" s="5"/>
      <c r="N4" s="87" t="s">
        <v>31</v>
      </c>
      <c r="O4" s="6">
        <v>30</v>
      </c>
      <c r="P4" s="5"/>
      <c r="Q4" s="6">
        <v>30</v>
      </c>
      <c r="R4" s="5"/>
    </row>
    <row r="5" spans="1:18" x14ac:dyDescent="0.3">
      <c r="A5" s="36" t="s">
        <v>27</v>
      </c>
      <c r="B5" s="5"/>
      <c r="C5" s="8"/>
      <c r="D5" s="7"/>
      <c r="E5" s="8"/>
      <c r="F5" s="8"/>
      <c r="G5" s="5"/>
      <c r="H5" s="8"/>
      <c r="I5" s="8"/>
      <c r="J5" s="5"/>
      <c r="K5" s="8"/>
      <c r="L5" s="8"/>
      <c r="M5" s="5"/>
      <c r="N5" s="8"/>
      <c r="O5" s="8"/>
      <c r="P5" s="5"/>
      <c r="Q5" s="8"/>
      <c r="R5" s="5"/>
    </row>
    <row r="6" spans="1:18" x14ac:dyDescent="0.3">
      <c r="A6" s="36" t="s">
        <v>1</v>
      </c>
      <c r="B6" s="5"/>
      <c r="C6" s="6">
        <f>SUM(C7:C7)</f>
        <v>440</v>
      </c>
      <c r="D6" s="7"/>
      <c r="E6" s="6">
        <f>SUM(E7:E7)</f>
        <v>475</v>
      </c>
      <c r="F6" s="6">
        <f>SUM(F7:F7)</f>
        <v>1000</v>
      </c>
      <c r="G6" s="5"/>
      <c r="H6" s="6">
        <f>SUM(H7:H7)</f>
        <v>480</v>
      </c>
      <c r="I6" s="6">
        <f>SUM(I7:I7)</f>
        <v>1000</v>
      </c>
      <c r="J6" s="5"/>
      <c r="K6" s="6">
        <f>SUM(K7:K7)</f>
        <v>2740</v>
      </c>
      <c r="L6" s="6">
        <f>SUM(L7:L7)</f>
        <v>1870</v>
      </c>
      <c r="M6" s="5"/>
      <c r="N6" s="6">
        <f>SUM(N7:N7)</f>
        <v>5000</v>
      </c>
      <c r="O6" s="9">
        <f>SUM(O7:O7)</f>
        <v>1870</v>
      </c>
      <c r="P6" s="5"/>
      <c r="Q6" s="6">
        <f>SUM(Q7:Q7)</f>
        <v>5000</v>
      </c>
      <c r="R6" s="5"/>
    </row>
    <row r="7" spans="1:18" x14ac:dyDescent="0.3">
      <c r="A7" s="37" t="s">
        <v>0</v>
      </c>
      <c r="B7" s="5"/>
      <c r="C7" s="6">
        <v>440</v>
      </c>
      <c r="D7" s="7"/>
      <c r="E7" s="6">
        <v>475</v>
      </c>
      <c r="F7" s="6">
        <v>1000</v>
      </c>
      <c r="G7" s="5"/>
      <c r="H7" s="6">
        <v>480</v>
      </c>
      <c r="I7" s="6">
        <v>1000</v>
      </c>
      <c r="J7" s="5"/>
      <c r="K7" s="6">
        <v>2740</v>
      </c>
      <c r="L7" s="6">
        <v>1870</v>
      </c>
      <c r="M7" s="5"/>
      <c r="N7" s="6">
        <v>5000</v>
      </c>
      <c r="O7" s="9">
        <v>1870</v>
      </c>
      <c r="P7" s="5"/>
      <c r="Q7" s="6">
        <v>5000</v>
      </c>
      <c r="R7" s="5"/>
    </row>
    <row r="8" spans="1:18" x14ac:dyDescent="0.3">
      <c r="A8" s="38" t="s">
        <v>19</v>
      </c>
      <c r="B8" s="5"/>
      <c r="C8" s="6">
        <v>0</v>
      </c>
      <c r="D8" s="7"/>
      <c r="E8" s="6">
        <v>0</v>
      </c>
      <c r="F8" s="6">
        <f>E6</f>
        <v>475</v>
      </c>
      <c r="G8" s="5"/>
      <c r="H8" s="6">
        <v>0</v>
      </c>
      <c r="I8" s="6">
        <f>H6</f>
        <v>480</v>
      </c>
      <c r="J8" s="5"/>
      <c r="K8" s="6">
        <v>0</v>
      </c>
      <c r="L8" s="6">
        <f>K6</f>
        <v>2740</v>
      </c>
      <c r="M8" s="5"/>
      <c r="N8" s="6">
        <v>0</v>
      </c>
      <c r="O8" s="6">
        <f>N6</f>
        <v>5000</v>
      </c>
      <c r="P8" s="5"/>
      <c r="Q8" s="6">
        <v>0</v>
      </c>
      <c r="R8" s="5"/>
    </row>
    <row r="9" spans="1:18" x14ac:dyDescent="0.3">
      <c r="A9" s="38" t="s">
        <v>18</v>
      </c>
      <c r="B9" s="5"/>
      <c r="C9" s="6">
        <v>0</v>
      </c>
      <c r="D9" s="7"/>
      <c r="E9" s="6">
        <v>0</v>
      </c>
      <c r="F9" s="6">
        <f>E46</f>
        <v>237.5</v>
      </c>
      <c r="G9" s="5"/>
      <c r="H9" s="6">
        <v>0</v>
      </c>
      <c r="I9" s="6">
        <f>H46</f>
        <v>240</v>
      </c>
      <c r="J9" s="5"/>
      <c r="K9" s="6">
        <v>0</v>
      </c>
      <c r="L9" s="6">
        <f>K46</f>
        <v>240</v>
      </c>
      <c r="M9" s="5"/>
      <c r="N9" s="6">
        <v>0</v>
      </c>
      <c r="O9" s="6">
        <f>N46</f>
        <v>639</v>
      </c>
      <c r="P9" s="5"/>
      <c r="Q9" s="6">
        <v>0</v>
      </c>
      <c r="R9" s="5"/>
    </row>
    <row r="10" spans="1:18" x14ac:dyDescent="0.3">
      <c r="A10" s="39" t="s">
        <v>6</v>
      </c>
      <c r="B10" s="5"/>
      <c r="C10" s="10"/>
      <c r="D10" s="5"/>
      <c r="E10" s="10"/>
      <c r="F10" s="10"/>
      <c r="G10" s="5"/>
      <c r="H10" s="10"/>
      <c r="I10" s="10"/>
      <c r="J10" s="5"/>
      <c r="K10" s="10"/>
      <c r="L10" s="10"/>
      <c r="M10" s="5"/>
      <c r="N10" s="10"/>
      <c r="O10" s="10"/>
      <c r="P10" s="5"/>
      <c r="Q10" s="10"/>
      <c r="R10" s="5"/>
    </row>
    <row r="11" spans="1:18" x14ac:dyDescent="0.3">
      <c r="A11" s="40" t="s">
        <v>20</v>
      </c>
      <c r="B11" s="5"/>
      <c r="C11" s="11">
        <f>IF(C8&gt;480,0,MIN(480-C8,C6))</f>
        <v>440</v>
      </c>
      <c r="D11" s="5"/>
      <c r="E11" s="11">
        <f>IF(E8&gt;480,0,MIN(480-E8,E6))</f>
        <v>475</v>
      </c>
      <c r="F11" s="11">
        <f>IF(F8&gt;480,0,MIN(480-F8,F6))</f>
        <v>5</v>
      </c>
      <c r="G11" s="5"/>
      <c r="H11" s="11">
        <f>IF(H8&gt;480,0,MIN(480-H8,H6))</f>
        <v>480</v>
      </c>
      <c r="I11" s="11">
        <f>IF(I8&gt;480,0,MIN(480-I8,I6))</f>
        <v>0</v>
      </c>
      <c r="J11" s="5"/>
      <c r="K11" s="11">
        <f>IF(K8&gt;480,0,MIN(480-K8,K6))</f>
        <v>480</v>
      </c>
      <c r="L11" s="11">
        <f>IF(L8&gt;480,0,MIN(480-L8,L6))</f>
        <v>0</v>
      </c>
      <c r="M11" s="5"/>
      <c r="N11" s="11">
        <f>IF(N8&gt;480,0,MIN(480-N8,N6))</f>
        <v>480</v>
      </c>
      <c r="O11" s="11">
        <f>IF(O8&gt;480,0,MIN(480-O8,O6))</f>
        <v>0</v>
      </c>
      <c r="P11" s="5"/>
      <c r="Q11" s="11">
        <f>IF(Q8&gt;480,0,MIN(480-Q8,Q6))</f>
        <v>480</v>
      </c>
      <c r="R11" s="5"/>
    </row>
    <row r="12" spans="1:18" x14ac:dyDescent="0.3">
      <c r="A12" s="41" t="s">
        <v>69</v>
      </c>
      <c r="B12" s="5"/>
      <c r="C12" s="6">
        <f>C11*100%</f>
        <v>440</v>
      </c>
      <c r="D12" s="5"/>
      <c r="E12" s="6">
        <f>E11*100%</f>
        <v>475</v>
      </c>
      <c r="F12" s="6">
        <f>F11*100%</f>
        <v>5</v>
      </c>
      <c r="G12" s="5"/>
      <c r="H12" s="6">
        <f>H11*100%</f>
        <v>480</v>
      </c>
      <c r="I12" s="6">
        <f>I11*100%</f>
        <v>0</v>
      </c>
      <c r="J12" s="5"/>
      <c r="K12" s="6">
        <f>K11*100%</f>
        <v>480</v>
      </c>
      <c r="L12" s="6">
        <f>L11*100%</f>
        <v>0</v>
      </c>
      <c r="M12" s="5"/>
      <c r="N12" s="6">
        <f>N11*100%</f>
        <v>480</v>
      </c>
      <c r="O12" s="6">
        <f>O11*100%</f>
        <v>0</v>
      </c>
      <c r="P12" s="5"/>
      <c r="Q12" s="6">
        <f>Q11*100%</f>
        <v>480</v>
      </c>
      <c r="R12" s="5"/>
    </row>
    <row r="13" spans="1:18" x14ac:dyDescent="0.3">
      <c r="A13" s="41" t="s">
        <v>15</v>
      </c>
      <c r="B13" s="5"/>
      <c r="C13" s="6">
        <f>C11-C12</f>
        <v>0</v>
      </c>
      <c r="D13" s="5"/>
      <c r="E13" s="6">
        <f>E11-E12</f>
        <v>0</v>
      </c>
      <c r="F13" s="6">
        <f>F11-F12</f>
        <v>0</v>
      </c>
      <c r="G13" s="5"/>
      <c r="H13" s="6">
        <f>H11-H12</f>
        <v>0</v>
      </c>
      <c r="I13" s="6">
        <f>I11-I12</f>
        <v>0</v>
      </c>
      <c r="J13" s="5"/>
      <c r="K13" s="6">
        <f>K11-K12</f>
        <v>0</v>
      </c>
      <c r="L13" s="6">
        <f>L11-L12</f>
        <v>0</v>
      </c>
      <c r="M13" s="5"/>
      <c r="N13" s="6">
        <f>N11-N12</f>
        <v>0</v>
      </c>
      <c r="O13" s="6">
        <f>O11-O12</f>
        <v>0</v>
      </c>
      <c r="P13" s="5"/>
      <c r="Q13" s="6">
        <f>Q11-Q12</f>
        <v>0</v>
      </c>
      <c r="R13" s="5"/>
    </row>
    <row r="14" spans="1:18" x14ac:dyDescent="0.3">
      <c r="A14" s="40" t="s">
        <v>21</v>
      </c>
      <c r="B14" s="5"/>
      <c r="C14" s="11">
        <f>IF(C8&gt;4430,0,MIN(4430-C8-C11,C6-C11))</f>
        <v>0</v>
      </c>
      <c r="D14" s="5"/>
      <c r="E14" s="11">
        <f>IF(E8&gt;4430,0,MIN(4430-E8-E11,E6-E11))</f>
        <v>0</v>
      </c>
      <c r="F14" s="11">
        <f>IF(F8&gt;4430,0,MIN(4430-F8-F11,F6-F11))</f>
        <v>995</v>
      </c>
      <c r="G14" s="5"/>
      <c r="H14" s="11">
        <f>IF(H8&gt;4430,0,MIN(4430-H8-H11,H6-H11))</f>
        <v>0</v>
      </c>
      <c r="I14" s="11">
        <f>IF(I8&gt;4430,0,MIN(4430-I8-I11,I6-I11))</f>
        <v>1000</v>
      </c>
      <c r="J14" s="5"/>
      <c r="K14" s="11">
        <f>IF(K8&gt;4430,0,MIN(4430-K8-K11,K6-K11))</f>
        <v>2260</v>
      </c>
      <c r="L14" s="11">
        <f>IF(L8&gt;4430,0,MIN(4430-L8-L11,L6-L11))</f>
        <v>1690</v>
      </c>
      <c r="M14" s="5"/>
      <c r="N14" s="11">
        <f>IF(N8&gt;4430,0,MIN(4430-N8-N11,N6-N11))</f>
        <v>3950</v>
      </c>
      <c r="O14" s="11">
        <f>IF(O8&gt;4430,0,MIN(4430-O8-O11,O6-O11))</f>
        <v>0</v>
      </c>
      <c r="P14" s="5"/>
      <c r="Q14" s="11">
        <f>IF(Q8&gt;4430,0,MIN(4430-Q8-Q11,Q6-Q11))</f>
        <v>3950</v>
      </c>
      <c r="R14" s="5"/>
    </row>
    <row r="15" spans="1:18" x14ac:dyDescent="0.3">
      <c r="A15" s="41" t="s">
        <v>70</v>
      </c>
      <c r="B15" s="5"/>
      <c r="C15" s="6">
        <f>SUM(C14)*25%</f>
        <v>0</v>
      </c>
      <c r="D15" s="5"/>
      <c r="E15" s="6">
        <f>SUM(E14)*25%</f>
        <v>0</v>
      </c>
      <c r="F15" s="6">
        <f>SUM(F14)*25%</f>
        <v>248.75</v>
      </c>
      <c r="G15" s="5"/>
      <c r="H15" s="6">
        <f>SUM(H14)*25%</f>
        <v>0</v>
      </c>
      <c r="I15" s="6">
        <f>SUM(I14)*25%</f>
        <v>250</v>
      </c>
      <c r="J15" s="5"/>
      <c r="K15" s="6">
        <f>SUM(K14)*25%</f>
        <v>565</v>
      </c>
      <c r="L15" s="6">
        <f>SUM(L14)*25%</f>
        <v>422.5</v>
      </c>
      <c r="M15" s="5"/>
      <c r="N15" s="6">
        <f>SUM(N14)*25%</f>
        <v>987.5</v>
      </c>
      <c r="O15" s="6">
        <f>SUM(O14)*25%</f>
        <v>0</v>
      </c>
      <c r="P15" s="5"/>
      <c r="Q15" s="6">
        <f>SUM(Q14)*25%</f>
        <v>987.5</v>
      </c>
      <c r="R15" s="5"/>
    </row>
    <row r="16" spans="1:18" x14ac:dyDescent="0.3">
      <c r="A16" s="41" t="s">
        <v>9</v>
      </c>
      <c r="B16" s="5"/>
      <c r="C16" s="6">
        <f>C14-C15</f>
        <v>0</v>
      </c>
      <c r="D16" s="5"/>
      <c r="E16" s="6">
        <f>E14-E15</f>
        <v>0</v>
      </c>
      <c r="F16" s="6">
        <f>F14-F15</f>
        <v>746.25</v>
      </c>
      <c r="G16" s="5"/>
      <c r="H16" s="6">
        <f>H14-H15</f>
        <v>0</v>
      </c>
      <c r="I16" s="6">
        <f>I14-I15</f>
        <v>750</v>
      </c>
      <c r="J16" s="5"/>
      <c r="K16" s="6">
        <f>K14-K15</f>
        <v>1695</v>
      </c>
      <c r="L16" s="6">
        <f>L14-L15</f>
        <v>1267.5</v>
      </c>
      <c r="M16" s="5"/>
      <c r="N16" s="6">
        <f>N14-N15</f>
        <v>2962.5</v>
      </c>
      <c r="O16" s="6">
        <f>O14-O15</f>
        <v>0</v>
      </c>
      <c r="P16" s="5"/>
      <c r="Q16" s="6">
        <f>Q14-Q15</f>
        <v>2962.5</v>
      </c>
      <c r="R16" s="5"/>
    </row>
    <row r="17" spans="1:18" x14ac:dyDescent="0.3">
      <c r="A17" s="40" t="s">
        <v>25</v>
      </c>
      <c r="B17" s="5"/>
      <c r="C17" s="11">
        <f>SUM(C7-C11-C14)</f>
        <v>0</v>
      </c>
      <c r="D17" s="5"/>
      <c r="E17" s="11">
        <f>SUM(E7-E11-E14)</f>
        <v>0</v>
      </c>
      <c r="F17" s="11">
        <f>SUM(F7-F11-F14)</f>
        <v>0</v>
      </c>
      <c r="G17" s="5"/>
      <c r="H17" s="11">
        <f>SUM(H7-H11-H14)</f>
        <v>0</v>
      </c>
      <c r="I17" s="11">
        <f>SUM(I7-I11-I14)</f>
        <v>0</v>
      </c>
      <c r="J17" s="5"/>
      <c r="K17" s="11">
        <f>SUM(K7-K11-K14)</f>
        <v>0</v>
      </c>
      <c r="L17" s="11">
        <f>SUM(L7-L11-L14)</f>
        <v>180</v>
      </c>
      <c r="M17" s="5"/>
      <c r="N17" s="11">
        <f>SUM(N7-N11-N14)</f>
        <v>570</v>
      </c>
      <c r="O17" s="11">
        <f>SUM(O7-O11-O14)</f>
        <v>1870</v>
      </c>
      <c r="P17" s="5"/>
      <c r="Q17" s="11">
        <f>SUM(Q7-Q11-Q14)</f>
        <v>570</v>
      </c>
      <c r="R17" s="5"/>
    </row>
    <row r="18" spans="1:18" x14ac:dyDescent="0.3">
      <c r="A18" s="40" t="s">
        <v>43</v>
      </c>
      <c r="B18" s="5"/>
      <c r="C18" s="11">
        <f>7050-C9-C12-C15</f>
        <v>6610</v>
      </c>
      <c r="D18" s="5"/>
      <c r="E18" s="11">
        <f>7050-E9-E12-E15</f>
        <v>6575</v>
      </c>
      <c r="F18" s="11">
        <f>7050-F9-F12-F15</f>
        <v>6558.75</v>
      </c>
      <c r="G18" s="5"/>
      <c r="H18" s="11">
        <f>7050-H9-H12-H15</f>
        <v>6570</v>
      </c>
      <c r="I18" s="11">
        <f>7050-I9-I12-I15</f>
        <v>6560</v>
      </c>
      <c r="J18" s="5"/>
      <c r="K18" s="11">
        <f>7050-K9-K12-K15</f>
        <v>6005</v>
      </c>
      <c r="L18" s="11">
        <f>7050-L9-L12-L15</f>
        <v>6387.5</v>
      </c>
      <c r="M18" s="5"/>
      <c r="N18" s="11">
        <f>7050-N9-N12-N15</f>
        <v>5582.5</v>
      </c>
      <c r="O18" s="11">
        <f>7050-O9-O12-O15</f>
        <v>6411</v>
      </c>
      <c r="P18" s="5"/>
      <c r="Q18" s="11">
        <f>7050-Q9-Q12-Q15</f>
        <v>5582.5</v>
      </c>
      <c r="R18" s="5"/>
    </row>
    <row r="19" spans="1:18" x14ac:dyDescent="0.3">
      <c r="A19" s="40" t="s">
        <v>22</v>
      </c>
      <c r="B19" s="5"/>
      <c r="C19" s="11">
        <f>IF(C17=0,0,MIN(C17,C18/95%))</f>
        <v>0</v>
      </c>
      <c r="D19" s="5"/>
      <c r="E19" s="11">
        <f>IF(E17=0,0,MIN(E17,E18/95%))</f>
        <v>0</v>
      </c>
      <c r="F19" s="11">
        <f>IF(F17=0,0,MIN(F17,F18/95%))</f>
        <v>0</v>
      </c>
      <c r="G19" s="5"/>
      <c r="H19" s="11">
        <f>IF(H17=0,0,MIN(H17,H18/95%))</f>
        <v>0</v>
      </c>
      <c r="I19" s="11">
        <f>IF(I17=0,0,MIN(I17,I18/95%))</f>
        <v>0</v>
      </c>
      <c r="J19" s="5"/>
      <c r="K19" s="11">
        <f>IF(K17=0,0,MIN(K17,K18/95%))</f>
        <v>0</v>
      </c>
      <c r="L19" s="11">
        <f>IF(L17=0,0,MIN(L17,L18/95%))</f>
        <v>180</v>
      </c>
      <c r="M19" s="5"/>
      <c r="N19" s="11">
        <f>IF(N17=0,0,MIN(N17,N18/95%))</f>
        <v>570</v>
      </c>
      <c r="O19" s="11">
        <f>IF(O17=0,0,MIN(O17,O18/95%))</f>
        <v>1870</v>
      </c>
      <c r="P19" s="5"/>
      <c r="Q19" s="11">
        <f>IF(Q17=0,0,MIN(Q17,Q18/95%))</f>
        <v>570</v>
      </c>
      <c r="R19" s="5"/>
    </row>
    <row r="20" spans="1:18" x14ac:dyDescent="0.3">
      <c r="A20" s="40" t="s">
        <v>24</v>
      </c>
      <c r="B20" s="5"/>
      <c r="C20" s="11">
        <f>C19</f>
        <v>0</v>
      </c>
      <c r="D20" s="5"/>
      <c r="E20" s="11">
        <f>E19</f>
        <v>0</v>
      </c>
      <c r="F20" s="11">
        <f>F19</f>
        <v>0</v>
      </c>
      <c r="G20" s="5"/>
      <c r="H20" s="11">
        <f>H19</f>
        <v>0</v>
      </c>
      <c r="I20" s="11">
        <f>I19</f>
        <v>0</v>
      </c>
      <c r="J20" s="5"/>
      <c r="K20" s="11">
        <f>K19</f>
        <v>0</v>
      </c>
      <c r="L20" s="11">
        <f>L19</f>
        <v>180</v>
      </c>
      <c r="M20" s="5"/>
      <c r="N20" s="11">
        <f>N19</f>
        <v>570</v>
      </c>
      <c r="O20" s="11">
        <f>O19</f>
        <v>1870</v>
      </c>
      <c r="P20" s="5"/>
      <c r="Q20" s="11">
        <f>Q19</f>
        <v>570</v>
      </c>
      <c r="R20" s="5"/>
    </row>
    <row r="21" spans="1:18" x14ac:dyDescent="0.3">
      <c r="A21" s="41" t="s">
        <v>73</v>
      </c>
      <c r="B21" s="5"/>
      <c r="C21" s="6">
        <f>C19*95%-C22</f>
        <v>0</v>
      </c>
      <c r="D21" s="5"/>
      <c r="E21" s="6">
        <f>E19*95%-E22</f>
        <v>0</v>
      </c>
      <c r="F21" s="6">
        <f>F19*95%-F22</f>
        <v>0</v>
      </c>
      <c r="G21" s="5"/>
      <c r="H21" s="6">
        <f>H19*95%-H22</f>
        <v>0</v>
      </c>
      <c r="I21" s="6">
        <f>I19*95%-I22</f>
        <v>0</v>
      </c>
      <c r="J21" s="5"/>
      <c r="K21" s="6">
        <f>K19*95%-K22</f>
        <v>0</v>
      </c>
      <c r="L21" s="6">
        <f>L19*95%-L22</f>
        <v>45</v>
      </c>
      <c r="M21" s="5"/>
      <c r="N21" s="6">
        <f>N19*95%-N22</f>
        <v>142.5</v>
      </c>
      <c r="O21" s="6">
        <f>O19*95%-O22</f>
        <v>467.5</v>
      </c>
      <c r="P21" s="5"/>
      <c r="Q21" s="6">
        <f>Q19*95%-Q22</f>
        <v>142.5</v>
      </c>
      <c r="R21" s="5"/>
    </row>
    <row r="22" spans="1:18" x14ac:dyDescent="0.3">
      <c r="A22" s="41" t="s">
        <v>71</v>
      </c>
      <c r="B22" s="5"/>
      <c r="C22" s="6">
        <f>C20*70%</f>
        <v>0</v>
      </c>
      <c r="D22" s="5"/>
      <c r="E22" s="6">
        <f>E20*70%</f>
        <v>0</v>
      </c>
      <c r="F22" s="6">
        <f>F20*70%</f>
        <v>0</v>
      </c>
      <c r="G22" s="5"/>
      <c r="H22" s="6">
        <f>H20*70%</f>
        <v>0</v>
      </c>
      <c r="I22" s="6">
        <f>I20*70%</f>
        <v>0</v>
      </c>
      <c r="J22" s="5"/>
      <c r="K22" s="6">
        <f>K20*70%</f>
        <v>0</v>
      </c>
      <c r="L22" s="6">
        <f>L20*70%</f>
        <v>126</v>
      </c>
      <c r="M22" s="5"/>
      <c r="N22" s="6">
        <f>N20*70%</f>
        <v>399</v>
      </c>
      <c r="O22" s="6">
        <f>O20*70%</f>
        <v>1309</v>
      </c>
      <c r="P22" s="5"/>
      <c r="Q22" s="6">
        <f>Q20*70%</f>
        <v>399</v>
      </c>
      <c r="R22" s="5"/>
    </row>
    <row r="23" spans="1:18" x14ac:dyDescent="0.3">
      <c r="A23" s="41" t="s">
        <v>12</v>
      </c>
      <c r="B23" s="5"/>
      <c r="C23" s="6">
        <f>SUM(C19-C21-C22)</f>
        <v>0</v>
      </c>
      <c r="D23" s="5"/>
      <c r="E23" s="6">
        <f>SUM(E19-E21-E22)</f>
        <v>0</v>
      </c>
      <c r="F23" s="6">
        <f>SUM(F19-F21-F22)</f>
        <v>0</v>
      </c>
      <c r="G23" s="5"/>
      <c r="H23" s="6">
        <f>SUM(H19-H21-H22)</f>
        <v>0</v>
      </c>
      <c r="I23" s="6">
        <f>SUM(I19-I21-I22)</f>
        <v>0</v>
      </c>
      <c r="J23" s="5"/>
      <c r="K23" s="6">
        <f>SUM(K19-K21-K22)</f>
        <v>0</v>
      </c>
      <c r="L23" s="6">
        <f>SUM(L19-L21-L22)</f>
        <v>9</v>
      </c>
      <c r="M23" s="5"/>
      <c r="N23" s="6">
        <f>SUM(N19-N21-N22)</f>
        <v>28.5</v>
      </c>
      <c r="O23" s="6">
        <f>SUM(O19-O21-O22)</f>
        <v>93.5</v>
      </c>
      <c r="P23" s="5"/>
      <c r="Q23" s="6">
        <f>SUM(Q19-Q21-Q22)</f>
        <v>28.5</v>
      </c>
      <c r="R23" s="5"/>
    </row>
    <row r="24" spans="1:18" x14ac:dyDescent="0.3">
      <c r="A24" s="40" t="s">
        <v>23</v>
      </c>
      <c r="B24" s="5"/>
      <c r="C24" s="11">
        <f>SUM(C6-C11-C14-C19)</f>
        <v>0</v>
      </c>
      <c r="D24" s="5"/>
      <c r="E24" s="11">
        <f>SUM(E6-E11-E14-E19)</f>
        <v>0</v>
      </c>
      <c r="F24" s="11">
        <f>SUM(F6-F11-F14-F19)</f>
        <v>0</v>
      </c>
      <c r="G24" s="5"/>
      <c r="H24" s="11">
        <f>SUM(H6-H11-H14-H19)</f>
        <v>0</v>
      </c>
      <c r="I24" s="11">
        <f>SUM(I6-I11-I14-I19)</f>
        <v>0</v>
      </c>
      <c r="J24" s="5"/>
      <c r="K24" s="11">
        <f>SUM(K6-K11-K14-K19)</f>
        <v>0</v>
      </c>
      <c r="L24" s="11">
        <f>SUM(L6-L11-L14-L19)</f>
        <v>0</v>
      </c>
      <c r="M24" s="5"/>
      <c r="N24" s="11">
        <f>SUM(N6-N11-N14-N19)</f>
        <v>0</v>
      </c>
      <c r="O24" s="11">
        <f>SUM(O6-O11-O14-O19)</f>
        <v>0</v>
      </c>
      <c r="P24" s="5"/>
      <c r="Q24" s="11">
        <f>SUM(Q6-Q11-Q14-Q19)</f>
        <v>0</v>
      </c>
      <c r="R24" s="5"/>
    </row>
    <row r="25" spans="1:18" x14ac:dyDescent="0.3">
      <c r="A25" s="41" t="s">
        <v>72</v>
      </c>
      <c r="B25" s="5"/>
      <c r="C25" s="6">
        <f>IF(C24=0,0,MAX(C24*5%,9.85))</f>
        <v>0</v>
      </c>
      <c r="D25" s="5"/>
      <c r="E25" s="6">
        <f>IF(E24=0,0,MAX(E24*5%,9.85))</f>
        <v>0</v>
      </c>
      <c r="F25" s="6">
        <f>IF(F24=0,0,MAX(F24*5%,9.85))</f>
        <v>0</v>
      </c>
      <c r="G25" s="5"/>
      <c r="H25" s="6">
        <f>IF(H24=0,0,MAX(H24*5%,9.85))</f>
        <v>0</v>
      </c>
      <c r="I25" s="6">
        <f>IF(I24=0,0,MAX(I24*5%,9.85))</f>
        <v>0</v>
      </c>
      <c r="J25" s="5"/>
      <c r="K25" s="6">
        <f>IF(K24=0,0,MAX(K24*5%,9.85))</f>
        <v>0</v>
      </c>
      <c r="L25" s="6">
        <f>IF(L24=0,0,MAX(L24*5%,9.85))</f>
        <v>0</v>
      </c>
      <c r="M25" s="5"/>
      <c r="N25" s="6">
        <f>IF(N24=0,0,MAX(N24*5%,9.85))</f>
        <v>0</v>
      </c>
      <c r="O25" s="6">
        <f>IF(O24=0,0,MAX(O24*5%,9.85))</f>
        <v>0</v>
      </c>
      <c r="P25" s="5"/>
      <c r="Q25" s="6">
        <f>IF(Q24=0,0,MAX(Q24*5%,9.85))</f>
        <v>0</v>
      </c>
      <c r="R25" s="5"/>
    </row>
    <row r="26" spans="1:18" x14ac:dyDescent="0.3">
      <c r="A26" s="41" t="s">
        <v>16</v>
      </c>
      <c r="B26" s="5"/>
      <c r="C26" s="6">
        <f>SUM(C24-C25)</f>
        <v>0</v>
      </c>
      <c r="D26" s="5"/>
      <c r="E26" s="6">
        <f>SUM(E24-E25)</f>
        <v>0</v>
      </c>
      <c r="F26" s="6">
        <f>SUM(F24-F25)</f>
        <v>0</v>
      </c>
      <c r="G26" s="5"/>
      <c r="H26" s="6">
        <f>SUM(H24-H25)</f>
        <v>0</v>
      </c>
      <c r="I26" s="6">
        <f>SUM(I24-I25)</f>
        <v>0</v>
      </c>
      <c r="J26" s="5"/>
      <c r="K26" s="6">
        <f>SUM(K24-K25)</f>
        <v>0</v>
      </c>
      <c r="L26" s="6">
        <f>SUM(L24-L25)</f>
        <v>0</v>
      </c>
      <c r="M26" s="5"/>
      <c r="N26" s="6">
        <f>SUM(N24-N25)</f>
        <v>0</v>
      </c>
      <c r="O26" s="6">
        <f>SUM(O24-O25)</f>
        <v>0</v>
      </c>
      <c r="P26" s="5"/>
      <c r="Q26" s="6">
        <f>SUM(Q24-Q25)</f>
        <v>0</v>
      </c>
      <c r="R26" s="5"/>
    </row>
    <row r="27" spans="1:18" x14ac:dyDescent="0.3">
      <c r="A27" s="42" t="s">
        <v>129</v>
      </c>
      <c r="B27" s="5"/>
      <c r="C27" s="11">
        <v>0</v>
      </c>
      <c r="D27" s="5"/>
      <c r="E27" s="11">
        <v>0</v>
      </c>
      <c r="F27" s="11">
        <v>0</v>
      </c>
      <c r="G27" s="5"/>
      <c r="H27" s="11">
        <v>0</v>
      </c>
      <c r="I27" s="11">
        <v>0</v>
      </c>
      <c r="J27" s="5"/>
      <c r="K27" s="11">
        <v>0</v>
      </c>
      <c r="L27" s="11">
        <v>0</v>
      </c>
      <c r="M27" s="5"/>
      <c r="N27" s="11">
        <v>0</v>
      </c>
      <c r="O27" s="11">
        <v>0</v>
      </c>
      <c r="P27" s="5"/>
      <c r="Q27" s="11">
        <v>0</v>
      </c>
      <c r="R27" s="5"/>
    </row>
    <row r="28" spans="1:18" x14ac:dyDescent="0.3">
      <c r="A28" s="41" t="s">
        <v>117</v>
      </c>
      <c r="B28" s="5"/>
      <c r="C28" s="6">
        <f>MIN(50%*C11,C2)</f>
        <v>220</v>
      </c>
      <c r="D28" s="5"/>
      <c r="E28" s="6">
        <f>MIN(50%*E11,E2)</f>
        <v>237.5</v>
      </c>
      <c r="F28" s="6">
        <f>MIN(50%*F11,F2)</f>
        <v>2.5</v>
      </c>
      <c r="G28" s="5"/>
      <c r="H28" s="6">
        <f>MIN(50%*H11,H2)</f>
        <v>240</v>
      </c>
      <c r="I28" s="6">
        <f>MIN(50%*I11,I2)</f>
        <v>0</v>
      </c>
      <c r="J28" s="5"/>
      <c r="K28" s="6">
        <f>MIN(50%*K11,K2)</f>
        <v>240</v>
      </c>
      <c r="L28" s="6">
        <f>MIN(50%*L11,L2)</f>
        <v>0</v>
      </c>
      <c r="M28" s="5"/>
      <c r="N28" s="6">
        <f>MIN(50%*N11,N2)</f>
        <v>240</v>
      </c>
      <c r="O28" s="6">
        <f>MIN(50%*O11,O2)</f>
        <v>0</v>
      </c>
      <c r="P28" s="5"/>
      <c r="Q28" s="6">
        <f>MIN(50%*Q11,Q2)</f>
        <v>240</v>
      </c>
      <c r="R28" s="5"/>
    </row>
    <row r="29" spans="1:18" x14ac:dyDescent="0.3">
      <c r="A29" s="41" t="s">
        <v>47</v>
      </c>
      <c r="B29" s="5"/>
      <c r="C29" s="6">
        <v>0</v>
      </c>
      <c r="D29" s="5"/>
      <c r="E29" s="6">
        <v>0</v>
      </c>
      <c r="F29" s="6">
        <v>20</v>
      </c>
      <c r="G29" s="5"/>
      <c r="H29" s="6">
        <v>0</v>
      </c>
      <c r="I29" s="6">
        <f>MIN(I14*25%,I3)</f>
        <v>20</v>
      </c>
      <c r="J29" s="5"/>
      <c r="K29" s="6">
        <v>0</v>
      </c>
      <c r="L29" s="6">
        <f>MIN(L14*25%,L3)</f>
        <v>20</v>
      </c>
      <c r="M29" s="5"/>
      <c r="N29" s="6">
        <v>0</v>
      </c>
      <c r="O29" s="6">
        <f>MIN(O14*25%,O3-O28)</f>
        <v>0</v>
      </c>
      <c r="P29" s="5"/>
      <c r="Q29" s="6">
        <f>MIN(Q14*25%,Q3)</f>
        <v>20</v>
      </c>
      <c r="R29" s="5"/>
    </row>
    <row r="30" spans="1:18" x14ac:dyDescent="0.3">
      <c r="A30" s="41" t="s">
        <v>35</v>
      </c>
      <c r="B30" s="5"/>
      <c r="C30" s="6">
        <v>0</v>
      </c>
      <c r="D30" s="5"/>
      <c r="E30" s="6">
        <v>0</v>
      </c>
      <c r="F30" s="6">
        <v>0</v>
      </c>
      <c r="G30" s="5"/>
      <c r="H30" s="6">
        <v>0</v>
      </c>
      <c r="I30" s="6">
        <v>0</v>
      </c>
      <c r="J30" s="5"/>
      <c r="K30" s="6">
        <v>0</v>
      </c>
      <c r="L30" s="6">
        <f>MIN(L19*25%,L3-L29,L4)</f>
        <v>0</v>
      </c>
      <c r="M30" s="5"/>
      <c r="N30" s="6">
        <v>0</v>
      </c>
      <c r="O30" s="6">
        <f>MIN(O19*25%,O4)</f>
        <v>30</v>
      </c>
      <c r="P30" s="5"/>
      <c r="Q30" s="6">
        <v>0</v>
      </c>
      <c r="R30" s="5"/>
    </row>
    <row r="31" spans="1:18" x14ac:dyDescent="0.3">
      <c r="A31" s="41" t="s">
        <v>28</v>
      </c>
      <c r="B31" s="5"/>
      <c r="C31" s="6">
        <f>MIN(C25,5)</f>
        <v>0</v>
      </c>
      <c r="D31" s="5"/>
      <c r="E31" s="6">
        <f>MIN(E25,5)</f>
        <v>0</v>
      </c>
      <c r="F31" s="6">
        <f>MIN(F25,5)</f>
        <v>0</v>
      </c>
      <c r="G31" s="5"/>
      <c r="H31" s="6">
        <f>MIN(H25,5)</f>
        <v>0</v>
      </c>
      <c r="I31" s="6">
        <f>MIN(I25,5)</f>
        <v>0</v>
      </c>
      <c r="J31" s="5"/>
      <c r="K31" s="6">
        <f>MIN(K25,5)</f>
        <v>0</v>
      </c>
      <c r="L31" s="6">
        <f>MIN(L25,5)</f>
        <v>0</v>
      </c>
      <c r="M31" s="5"/>
      <c r="N31" s="6">
        <f>MIN(N25,5)</f>
        <v>0</v>
      </c>
      <c r="O31" s="6">
        <f>MIN(O25,5)</f>
        <v>0</v>
      </c>
      <c r="P31" s="5"/>
      <c r="Q31" s="6">
        <f>MIN(Q25,5)</f>
        <v>0</v>
      </c>
      <c r="R31" s="5"/>
    </row>
    <row r="32" spans="1:18" x14ac:dyDescent="0.3">
      <c r="A32" s="39" t="s">
        <v>36</v>
      </c>
      <c r="B32" s="5"/>
      <c r="C32" s="10"/>
      <c r="D32" s="5"/>
      <c r="E32" s="10"/>
      <c r="F32" s="10"/>
      <c r="G32" s="5"/>
      <c r="H32" s="10"/>
      <c r="I32" s="10"/>
      <c r="J32" s="5"/>
      <c r="K32" s="10"/>
      <c r="L32" s="10"/>
      <c r="M32" s="5"/>
      <c r="N32" s="10"/>
      <c r="O32" s="10"/>
      <c r="P32" s="5"/>
      <c r="Q32" s="10"/>
      <c r="R32" s="5"/>
    </row>
    <row r="33" spans="1:18" x14ac:dyDescent="0.3">
      <c r="A33" s="41" t="s">
        <v>14</v>
      </c>
      <c r="B33" s="5"/>
      <c r="C33" s="6">
        <f>C28</f>
        <v>220</v>
      </c>
      <c r="D33" s="5"/>
      <c r="E33" s="6">
        <f>E28</f>
        <v>237.5</v>
      </c>
      <c r="F33" s="6">
        <f>F28</f>
        <v>2.5</v>
      </c>
      <c r="G33" s="5"/>
      <c r="H33" s="6">
        <f>H28</f>
        <v>240</v>
      </c>
      <c r="I33" s="6">
        <f>I28</f>
        <v>0</v>
      </c>
      <c r="J33" s="5"/>
      <c r="K33" s="6">
        <f>K28</f>
        <v>240</v>
      </c>
      <c r="L33" s="6">
        <f>L28</f>
        <v>0</v>
      </c>
      <c r="M33" s="5"/>
      <c r="N33" s="6">
        <f>N28</f>
        <v>240</v>
      </c>
      <c r="O33" s="6">
        <f>O28</f>
        <v>0</v>
      </c>
      <c r="P33" s="5"/>
      <c r="Q33" s="6">
        <f>Q28</f>
        <v>240</v>
      </c>
      <c r="R33" s="5"/>
    </row>
    <row r="34" spans="1:18" x14ac:dyDescent="0.3">
      <c r="A34" s="41" t="s">
        <v>15</v>
      </c>
      <c r="B34" s="5"/>
      <c r="C34" s="6">
        <f>C13</f>
        <v>0</v>
      </c>
      <c r="D34" s="5"/>
      <c r="E34" s="6">
        <f>E13</f>
        <v>0</v>
      </c>
      <c r="F34" s="6">
        <f>F13</f>
        <v>0</v>
      </c>
      <c r="G34" s="5"/>
      <c r="H34" s="6">
        <f>H13</f>
        <v>0</v>
      </c>
      <c r="I34" s="6">
        <f>I13</f>
        <v>0</v>
      </c>
      <c r="J34" s="5"/>
      <c r="K34" s="6">
        <f>K13</f>
        <v>0</v>
      </c>
      <c r="L34" s="6">
        <f>L13</f>
        <v>0</v>
      </c>
      <c r="M34" s="5"/>
      <c r="N34" s="6">
        <f>N13</f>
        <v>0</v>
      </c>
      <c r="O34" s="6">
        <f>O13</f>
        <v>0</v>
      </c>
      <c r="P34" s="5"/>
      <c r="Q34" s="6">
        <f>Q13</f>
        <v>0</v>
      </c>
      <c r="R34" s="5"/>
    </row>
    <row r="35" spans="1:18" x14ac:dyDescent="0.3">
      <c r="A35" s="41" t="s">
        <v>99</v>
      </c>
      <c r="B35" s="5"/>
      <c r="C35" s="6">
        <f>C12-C28</f>
        <v>220</v>
      </c>
      <c r="D35" s="5"/>
      <c r="E35" s="6">
        <f>E12-E28</f>
        <v>237.5</v>
      </c>
      <c r="F35" s="6">
        <f>F12-F28</f>
        <v>2.5</v>
      </c>
      <c r="G35" s="5"/>
      <c r="H35" s="6">
        <f>H12-H28</f>
        <v>240</v>
      </c>
      <c r="I35" s="6">
        <f>I12-I28</f>
        <v>0</v>
      </c>
      <c r="J35" s="5"/>
      <c r="K35" s="6">
        <f>K12-K28</f>
        <v>240</v>
      </c>
      <c r="L35" s="6">
        <f>L12-L28</f>
        <v>0</v>
      </c>
      <c r="M35" s="5"/>
      <c r="N35" s="6">
        <f>N12-N28</f>
        <v>240</v>
      </c>
      <c r="O35" s="6">
        <f>O12-O28</f>
        <v>0</v>
      </c>
      <c r="P35" s="5"/>
      <c r="Q35" s="6">
        <f>Q12-Q28</f>
        <v>240</v>
      </c>
      <c r="R35" s="5"/>
    </row>
    <row r="36" spans="1:18" x14ac:dyDescent="0.3">
      <c r="A36" s="41" t="s">
        <v>100</v>
      </c>
      <c r="B36" s="5"/>
      <c r="C36" s="6">
        <f>C29</f>
        <v>0</v>
      </c>
      <c r="D36" s="5"/>
      <c r="E36" s="6">
        <f>E29</f>
        <v>0</v>
      </c>
      <c r="F36" s="6">
        <f>F29</f>
        <v>20</v>
      </c>
      <c r="G36" s="5"/>
      <c r="H36" s="6">
        <f>H29</f>
        <v>0</v>
      </c>
      <c r="I36" s="6">
        <f>I29</f>
        <v>20</v>
      </c>
      <c r="J36" s="5"/>
      <c r="K36" s="6">
        <f>K29</f>
        <v>0</v>
      </c>
      <c r="L36" s="6">
        <f>L29</f>
        <v>20</v>
      </c>
      <c r="M36" s="5"/>
      <c r="N36" s="6">
        <f>N29</f>
        <v>0</v>
      </c>
      <c r="O36" s="6">
        <f>O29</f>
        <v>0</v>
      </c>
      <c r="P36" s="5"/>
      <c r="Q36" s="6">
        <f>Q29</f>
        <v>20</v>
      </c>
      <c r="R36" s="5"/>
    </row>
    <row r="37" spans="1:18" x14ac:dyDescent="0.3">
      <c r="A37" s="41" t="s">
        <v>101</v>
      </c>
      <c r="B37" s="5"/>
      <c r="C37" s="6">
        <f>C16</f>
        <v>0</v>
      </c>
      <c r="D37" s="5"/>
      <c r="E37" s="6">
        <f>E16</f>
        <v>0</v>
      </c>
      <c r="F37" s="6">
        <f>F16</f>
        <v>746.25</v>
      </c>
      <c r="G37" s="5"/>
      <c r="H37" s="6">
        <f>H16</f>
        <v>0</v>
      </c>
      <c r="I37" s="6">
        <f>I16</f>
        <v>750</v>
      </c>
      <c r="J37" s="5"/>
      <c r="K37" s="6">
        <f>K16</f>
        <v>1695</v>
      </c>
      <c r="L37" s="6">
        <f>L16</f>
        <v>1267.5</v>
      </c>
      <c r="M37" s="5"/>
      <c r="N37" s="6">
        <f>N16</f>
        <v>2962.5</v>
      </c>
      <c r="O37" s="6">
        <f>O16</f>
        <v>0</v>
      </c>
      <c r="P37" s="5"/>
      <c r="Q37" s="6">
        <f>Q16</f>
        <v>2962.5</v>
      </c>
      <c r="R37" s="5"/>
    </row>
    <row r="38" spans="1:18" x14ac:dyDescent="0.3">
      <c r="A38" s="41" t="s">
        <v>102</v>
      </c>
      <c r="B38" s="5"/>
      <c r="C38" s="6">
        <f>C15-C29</f>
        <v>0</v>
      </c>
      <c r="D38" s="5"/>
      <c r="E38" s="6">
        <f>E15-E29</f>
        <v>0</v>
      </c>
      <c r="F38" s="6">
        <f>F15-F29</f>
        <v>228.75</v>
      </c>
      <c r="G38" s="5"/>
      <c r="H38" s="6">
        <f>H15-H29</f>
        <v>0</v>
      </c>
      <c r="I38" s="6">
        <f>I15-I29</f>
        <v>230</v>
      </c>
      <c r="J38" s="5"/>
      <c r="K38" s="6">
        <f>K15-K29</f>
        <v>565</v>
      </c>
      <c r="L38" s="6">
        <f>L15-L29</f>
        <v>402.5</v>
      </c>
      <c r="M38" s="5"/>
      <c r="N38" s="6">
        <f>N15-N29</f>
        <v>987.5</v>
      </c>
      <c r="O38" s="6">
        <f>O15-O29</f>
        <v>0</v>
      </c>
      <c r="P38" s="5"/>
      <c r="Q38" s="6">
        <f>Q15-Q29</f>
        <v>967.5</v>
      </c>
      <c r="R38" s="5"/>
    </row>
    <row r="39" spans="1:18" x14ac:dyDescent="0.3">
      <c r="A39" s="41" t="s">
        <v>103</v>
      </c>
      <c r="B39" s="5"/>
      <c r="C39" s="6">
        <f>C22+C30</f>
        <v>0</v>
      </c>
      <c r="D39" s="5"/>
      <c r="E39" s="6">
        <f>E22+E30</f>
        <v>0</v>
      </c>
      <c r="F39" s="6">
        <f>F22+F30</f>
        <v>0</v>
      </c>
      <c r="G39" s="5"/>
      <c r="H39" s="6">
        <f>H22+H30</f>
        <v>0</v>
      </c>
      <c r="I39" s="6">
        <f>I22+I30</f>
        <v>0</v>
      </c>
      <c r="J39" s="5"/>
      <c r="K39" s="6">
        <f>K22+K30</f>
        <v>0</v>
      </c>
      <c r="L39" s="6">
        <f>L22+L30</f>
        <v>126</v>
      </c>
      <c r="M39" s="5"/>
      <c r="N39" s="6">
        <f>N22+N30</f>
        <v>399</v>
      </c>
      <c r="O39" s="6">
        <f>O22+O30</f>
        <v>1339</v>
      </c>
      <c r="P39" s="5"/>
      <c r="Q39" s="6">
        <f>Q22+Q30</f>
        <v>399</v>
      </c>
      <c r="R39" s="5"/>
    </row>
    <row r="40" spans="1:18" x14ac:dyDescent="0.3">
      <c r="A40" s="41" t="s">
        <v>104</v>
      </c>
      <c r="B40" s="5"/>
      <c r="C40" s="6">
        <f>C23</f>
        <v>0</v>
      </c>
      <c r="D40" s="5"/>
      <c r="E40" s="6">
        <f>E23</f>
        <v>0</v>
      </c>
      <c r="F40" s="6">
        <f>F23</f>
        <v>0</v>
      </c>
      <c r="G40" s="5"/>
      <c r="H40" s="6">
        <f>H23</f>
        <v>0</v>
      </c>
      <c r="I40" s="6">
        <f>I23</f>
        <v>0</v>
      </c>
      <c r="J40" s="5"/>
      <c r="K40" s="6">
        <f>K23</f>
        <v>0</v>
      </c>
      <c r="L40" s="6">
        <f>L23</f>
        <v>9</v>
      </c>
      <c r="M40" s="5"/>
      <c r="N40" s="6">
        <f>N23</f>
        <v>28.5</v>
      </c>
      <c r="O40" s="6">
        <f>O23</f>
        <v>93.5</v>
      </c>
      <c r="P40" s="5"/>
      <c r="Q40" s="6">
        <f>Q23</f>
        <v>28.5</v>
      </c>
      <c r="R40" s="5"/>
    </row>
    <row r="41" spans="1:18" x14ac:dyDescent="0.3">
      <c r="A41" s="41" t="s">
        <v>105</v>
      </c>
      <c r="B41" s="5"/>
      <c r="C41" s="6">
        <f>IF(C9+C33+C36+C30+C22&lt;7050,C21-C30+C24,C21-C30)</f>
        <v>0</v>
      </c>
      <c r="D41" s="5"/>
      <c r="E41" s="6">
        <f>IF(E9+E33+E36+E30+E22&lt;7050,E21-E30+E24,E21-E30)</f>
        <v>0</v>
      </c>
      <c r="F41" s="6">
        <f>IF(F9+F33+F36+F30+F22&lt;7050,F21-F30+F24,F21-F30)</f>
        <v>0</v>
      </c>
      <c r="G41" s="5"/>
      <c r="H41" s="6">
        <f>IF(H9+H33+H36+H30+H22&lt;7050,H21-H30+H24,H21-H30)</f>
        <v>0</v>
      </c>
      <c r="I41" s="6">
        <f>IF(I9+I33+I36+I30+I22&lt;7050,I21-I30+I24,I21-I30)</f>
        <v>0</v>
      </c>
      <c r="J41" s="5"/>
      <c r="K41" s="6">
        <f>IF(K9+K33+K36+K30+K22&lt;7050,K21-K30+K24,K21-K30)</f>
        <v>0</v>
      </c>
      <c r="L41" s="6">
        <f>IF(L9+L33+L36+L30+L22&lt;7050,L21-L30+L24,L21-L30)</f>
        <v>45</v>
      </c>
      <c r="M41" s="5"/>
      <c r="N41" s="6">
        <f>IF(N9+N33+N36+N30+N22&lt;7050,N21-N30+N24,N21-N30)</f>
        <v>142.5</v>
      </c>
      <c r="O41" s="6">
        <f>IF(O9+O33+O36+O30+O22&lt;7050,O21-O30+O24,O21-O30)</f>
        <v>437.5</v>
      </c>
      <c r="P41" s="5"/>
      <c r="Q41" s="6">
        <f>IF(Q9+Q33+Q36+Q30+Q22&lt;7050,Q21-Q30+Q24,Q21-Q30)</f>
        <v>142.5</v>
      </c>
      <c r="R41" s="5"/>
    </row>
    <row r="42" spans="1:18" x14ac:dyDescent="0.3">
      <c r="A42" s="41" t="s">
        <v>106</v>
      </c>
      <c r="B42" s="5"/>
      <c r="C42" s="6">
        <f>IF(C9+C33+C36+C39&lt;7050,0,C31)</f>
        <v>0</v>
      </c>
      <c r="D42" s="5"/>
      <c r="E42" s="6">
        <f>IF(E9+E33+E36+E39&lt;7050,0,E31)</f>
        <v>0</v>
      </c>
      <c r="F42" s="6">
        <f>IF(F9+F33+F36+F39&lt;7050,0,F31)</f>
        <v>0</v>
      </c>
      <c r="G42" s="5"/>
      <c r="H42" s="6">
        <f>IF(H9+H33+H36+H39&lt;7050,0,H31)</f>
        <v>0</v>
      </c>
      <c r="I42" s="6">
        <f>IF(I9+I33+I36+I39&lt;7050,0,I31)</f>
        <v>0</v>
      </c>
      <c r="J42" s="5"/>
      <c r="K42" s="6">
        <f>IF(K9+K33+K36+K39&lt;7050,0,K31)</f>
        <v>0</v>
      </c>
      <c r="L42" s="6">
        <f>IF(L9+L33+L36+L39&lt;7050,0,L31)</f>
        <v>0</v>
      </c>
      <c r="M42" s="5"/>
      <c r="N42" s="6">
        <f>IF(N9+N33+N36+N39&lt;7050,0,N31)</f>
        <v>0</v>
      </c>
      <c r="O42" s="6">
        <f>IF(O9+O33+O36+O39&lt;7050,0,O31)</f>
        <v>0</v>
      </c>
      <c r="P42" s="5"/>
      <c r="Q42" s="6">
        <f>IF(Q9+Q33+Q36+Q39&lt;7050,0,Q31)</f>
        <v>0</v>
      </c>
      <c r="R42" s="5"/>
    </row>
    <row r="43" spans="1:18" x14ac:dyDescent="0.3">
      <c r="A43" s="41" t="s">
        <v>107</v>
      </c>
      <c r="B43" s="5"/>
      <c r="C43" s="6">
        <f>IF(C9+C33+C36+C39&lt;7050,0,C26)</f>
        <v>0</v>
      </c>
      <c r="D43" s="5"/>
      <c r="E43" s="6">
        <f>IF(E9+E33+E36+E39&lt;7050,0,E26)</f>
        <v>0</v>
      </c>
      <c r="F43" s="6">
        <f>IF(F9+F33+F36+F39&lt;7050,0,F26)</f>
        <v>0</v>
      </c>
      <c r="G43" s="5"/>
      <c r="H43" s="6">
        <f>IF(H9+H33+H36+H39&lt;7050,0,H26)</f>
        <v>0</v>
      </c>
      <c r="I43" s="6">
        <f>IF(I9+I33+I36+I39&lt;7050,0,I26)</f>
        <v>0</v>
      </c>
      <c r="J43" s="5"/>
      <c r="K43" s="6">
        <f>IF(K9+K33+K36+K39&lt;7050,0,K26)</f>
        <v>0</v>
      </c>
      <c r="L43" s="6">
        <f>IF(L9+L33+L36+L39&lt;7050,0,L26)</f>
        <v>0</v>
      </c>
      <c r="M43" s="5"/>
      <c r="N43" s="6">
        <f>IF(N9+N33+N36+N39&lt;7050,0,N26)</f>
        <v>0</v>
      </c>
      <c r="O43" s="6">
        <f>IF(O9+O33+O36+O39&lt;7050,0,O26)</f>
        <v>0</v>
      </c>
      <c r="P43" s="5"/>
      <c r="Q43" s="6">
        <f>IF(Q9+Q33+Q36+Q39&lt;7050,0,Q26)</f>
        <v>0</v>
      </c>
      <c r="R43" s="5"/>
    </row>
    <row r="44" spans="1:18" x14ac:dyDescent="0.3">
      <c r="A44" s="41" t="s">
        <v>108</v>
      </c>
      <c r="B44" s="5"/>
      <c r="C44" s="6">
        <f>IF(C9+C33+C36+C39&lt;7050,0,C25-C31)</f>
        <v>0</v>
      </c>
      <c r="D44" s="5"/>
      <c r="E44" s="6">
        <f>IF(E9+E33+E36+E39&lt;7050,0,E25-E31)</f>
        <v>0</v>
      </c>
      <c r="F44" s="6">
        <f>IF(F9+F33+F36+F39&lt;7050,0,F25-F31)</f>
        <v>0</v>
      </c>
      <c r="G44" s="5"/>
      <c r="H44" s="6">
        <f>IF(H9+H33+H36+H39&lt;7050,0,H25-H31)</f>
        <v>0</v>
      </c>
      <c r="I44" s="6">
        <f>IF(I9+I33+I36+I39&lt;7050,0,I25-I31)</f>
        <v>0</v>
      </c>
      <c r="J44" s="5"/>
      <c r="K44" s="6">
        <f>IF(K9+K33+K36+K39&lt;7050,0,K25-K31)</f>
        <v>0</v>
      </c>
      <c r="L44" s="6">
        <f>IF(L9+L33+L36+L39&lt;7050,0,L25-L31)</f>
        <v>0</v>
      </c>
      <c r="M44" s="5"/>
      <c r="N44" s="6">
        <f>IF(N9+N33+N36+N39&lt;7050,0,N25-N31)</f>
        <v>0</v>
      </c>
      <c r="O44" s="6">
        <f>IF(O9+O33+O36+O39&lt;7050,0,O25-O31)</f>
        <v>0</v>
      </c>
      <c r="P44" s="5"/>
      <c r="Q44" s="6">
        <f>IF(Q9+Q33+Q36+Q39&lt;7050,0,Q25-Q31)</f>
        <v>0</v>
      </c>
      <c r="R44" s="5"/>
    </row>
    <row r="45" spans="1:18" x14ac:dyDescent="0.3">
      <c r="A45" s="39" t="s">
        <v>3</v>
      </c>
      <c r="B45" s="5"/>
      <c r="C45" s="10"/>
      <c r="D45" s="5"/>
      <c r="E45" s="10"/>
      <c r="F45" s="10"/>
      <c r="G45" s="5"/>
      <c r="H45" s="10"/>
      <c r="I45" s="10"/>
      <c r="J45" s="5"/>
      <c r="K45" s="10"/>
      <c r="L45" s="10"/>
      <c r="M45" s="5"/>
      <c r="N45" s="10"/>
      <c r="O45" s="10"/>
      <c r="P45" s="5"/>
      <c r="Q45" s="10"/>
      <c r="R45" s="5"/>
    </row>
    <row r="46" spans="1:18" x14ac:dyDescent="0.3">
      <c r="A46" s="43" t="s">
        <v>33</v>
      </c>
      <c r="B46" s="5"/>
      <c r="C46" s="9">
        <f>C33+C36+C39</f>
        <v>220</v>
      </c>
      <c r="D46" s="5"/>
      <c r="E46" s="9">
        <f>E33+E36+E39</f>
        <v>237.5</v>
      </c>
      <c r="F46" s="9">
        <f>F33+F36+F39</f>
        <v>22.5</v>
      </c>
      <c r="G46" s="5"/>
      <c r="H46" s="9">
        <f>H33+H36+H39</f>
        <v>240</v>
      </c>
      <c r="I46" s="9">
        <f>I33+I36+I39</f>
        <v>20</v>
      </c>
      <c r="J46" s="5"/>
      <c r="K46" s="9">
        <f>K33+K36+K39</f>
        <v>240</v>
      </c>
      <c r="L46" s="9">
        <f>L33+L36+L39</f>
        <v>146</v>
      </c>
      <c r="M46" s="5"/>
      <c r="N46" s="9">
        <f>N33+N36+N39</f>
        <v>639</v>
      </c>
      <c r="O46" s="9">
        <f>O33+O36+O39</f>
        <v>1339</v>
      </c>
      <c r="P46" s="5"/>
      <c r="Q46" s="9">
        <f>Q33+Q36+Q39</f>
        <v>659</v>
      </c>
      <c r="R46" s="5"/>
    </row>
    <row r="47" spans="1:18" x14ac:dyDescent="0.3">
      <c r="A47" s="43" t="s">
        <v>2</v>
      </c>
      <c r="B47" s="5"/>
      <c r="C47" s="9">
        <f>SUM(C28:C31)</f>
        <v>220</v>
      </c>
      <c r="D47" s="5"/>
      <c r="E47" s="9">
        <f>SUM(E28:E31)</f>
        <v>237.5</v>
      </c>
      <c r="F47" s="9">
        <f>SUM(F28:F31)</f>
        <v>22.5</v>
      </c>
      <c r="G47" s="5"/>
      <c r="H47" s="9">
        <f>SUM(H28:H31)</f>
        <v>240</v>
      </c>
      <c r="I47" s="9">
        <f>SUM(I28:I31)</f>
        <v>20</v>
      </c>
      <c r="J47" s="5"/>
      <c r="K47" s="9">
        <f>SUM(K28:K31)</f>
        <v>240</v>
      </c>
      <c r="L47" s="9">
        <f>SUM(L28:L31)</f>
        <v>20</v>
      </c>
      <c r="M47" s="5"/>
      <c r="N47" s="9">
        <f>SUM(N28:N31)</f>
        <v>240</v>
      </c>
      <c r="O47" s="9">
        <f>SUM(O28:O31)</f>
        <v>30</v>
      </c>
      <c r="P47" s="5"/>
      <c r="Q47" s="9">
        <f>SUM(Q28:Q31)</f>
        <v>260</v>
      </c>
      <c r="R47" s="5"/>
    </row>
    <row r="48" spans="1:18" x14ac:dyDescent="0.3">
      <c r="A48" s="44" t="s">
        <v>11</v>
      </c>
      <c r="B48" s="5"/>
      <c r="C48" s="6">
        <f>C22</f>
        <v>0</v>
      </c>
      <c r="D48" s="5"/>
      <c r="E48" s="6">
        <f>E22</f>
        <v>0</v>
      </c>
      <c r="F48" s="6">
        <f>F22</f>
        <v>0</v>
      </c>
      <c r="G48" s="5"/>
      <c r="H48" s="6">
        <f>H22</f>
        <v>0</v>
      </c>
      <c r="I48" s="6">
        <f>I22</f>
        <v>0</v>
      </c>
      <c r="J48" s="5"/>
      <c r="K48" s="6">
        <f>K22</f>
        <v>0</v>
      </c>
      <c r="L48" s="6">
        <f>L22</f>
        <v>126</v>
      </c>
      <c r="M48" s="5"/>
      <c r="N48" s="6">
        <f>N22</f>
        <v>399</v>
      </c>
      <c r="O48" s="6">
        <f>O22</f>
        <v>1309</v>
      </c>
      <c r="P48" s="5"/>
      <c r="Q48" s="6">
        <f>Q22</f>
        <v>399</v>
      </c>
      <c r="R48" s="5"/>
    </row>
    <row r="49" spans="1:18" x14ac:dyDescent="0.3">
      <c r="A49" s="43" t="s">
        <v>5</v>
      </c>
      <c r="B49" s="5"/>
      <c r="C49" s="9">
        <f>C34+C37+C40+C43</f>
        <v>0</v>
      </c>
      <c r="D49" s="5"/>
      <c r="E49" s="9">
        <f>E34+E37+E40+E43</f>
        <v>0</v>
      </c>
      <c r="F49" s="9">
        <f>F34+F37+F40+F43</f>
        <v>746.25</v>
      </c>
      <c r="G49" s="5"/>
      <c r="H49" s="9">
        <f>H34+H37+H40+H43</f>
        <v>0</v>
      </c>
      <c r="I49" s="9">
        <f>I34+I37+I40+I43</f>
        <v>750</v>
      </c>
      <c r="J49" s="5"/>
      <c r="K49" s="9">
        <f>K34+K37+K40+K43</f>
        <v>1695</v>
      </c>
      <c r="L49" s="9">
        <f>L34+L37+L40+L43</f>
        <v>1276.5</v>
      </c>
      <c r="M49" s="5"/>
      <c r="N49" s="9">
        <f>N34+N37+N40+N43</f>
        <v>2991</v>
      </c>
      <c r="O49" s="9">
        <f>O34+O37+O40+O43</f>
        <v>93.5</v>
      </c>
      <c r="P49" s="5"/>
      <c r="Q49" s="9">
        <f>Q34+Q37+Q40+Q43</f>
        <v>2991</v>
      </c>
      <c r="R49" s="5"/>
    </row>
    <row r="50" spans="1:18" x14ac:dyDescent="0.3">
      <c r="A50" s="43" t="s">
        <v>7</v>
      </c>
      <c r="B50" s="5"/>
      <c r="C50" s="12">
        <f>C35+C38+C41+C44</f>
        <v>220</v>
      </c>
      <c r="D50" s="5"/>
      <c r="E50" s="12">
        <f>E35+E38+E41+E44</f>
        <v>237.5</v>
      </c>
      <c r="F50" s="12">
        <f>F35+F38+F41+F44</f>
        <v>231.25</v>
      </c>
      <c r="G50" s="5"/>
      <c r="H50" s="12">
        <f>H35+H38+H41+H44</f>
        <v>240</v>
      </c>
      <c r="I50" s="12">
        <f>I35+I38+I41+I44</f>
        <v>230</v>
      </c>
      <c r="J50" s="5"/>
      <c r="K50" s="12">
        <f>K35+K38+K41+K44</f>
        <v>805</v>
      </c>
      <c r="L50" s="12">
        <f>L35+L38+L41+L44</f>
        <v>447.5</v>
      </c>
      <c r="M50" s="5"/>
      <c r="N50" s="12">
        <f>N35+N38+N41+N44</f>
        <v>1370</v>
      </c>
      <c r="O50" s="12">
        <f>O35+O38+O41+O44</f>
        <v>437.5</v>
      </c>
      <c r="P50" s="5"/>
      <c r="Q50" s="12">
        <f>Q35+Q38+Q41+Q44</f>
        <v>1350</v>
      </c>
      <c r="R50" s="5"/>
    </row>
    <row r="51" spans="1:18" x14ac:dyDescent="0.3">
      <c r="A51" s="43"/>
      <c r="B51" s="5"/>
      <c r="C51" s="12"/>
      <c r="D51" s="5"/>
      <c r="E51" s="12"/>
      <c r="F51" s="12"/>
      <c r="G51" s="5"/>
      <c r="H51" s="12"/>
      <c r="I51" s="12"/>
      <c r="J51" s="5"/>
      <c r="K51" s="12"/>
      <c r="L51" s="12"/>
      <c r="M51" s="5"/>
      <c r="N51" s="12"/>
      <c r="O51" s="12"/>
      <c r="P51" s="5"/>
      <c r="Q51" s="12"/>
      <c r="R51" s="5"/>
    </row>
    <row r="52" spans="1:18" x14ac:dyDescent="0.3">
      <c r="A52" s="45" t="s">
        <v>4</v>
      </c>
      <c r="B52" s="5"/>
      <c r="C52" s="13">
        <f>SUM(C47:C50)</f>
        <v>440</v>
      </c>
      <c r="D52" s="5"/>
      <c r="E52" s="13">
        <f>SUM(E47:E50)</f>
        <v>475</v>
      </c>
      <c r="F52" s="13">
        <f>SUM(F47:F50)</f>
        <v>1000</v>
      </c>
      <c r="G52" s="15"/>
      <c r="H52" s="13">
        <f>SUM(H47:H50)</f>
        <v>480</v>
      </c>
      <c r="I52" s="13">
        <f>SUM(I47:I50)</f>
        <v>1000</v>
      </c>
      <c r="J52" s="15"/>
      <c r="K52" s="13">
        <f>SUM(K47:K50)</f>
        <v>2740</v>
      </c>
      <c r="L52" s="13">
        <f>SUM(L47:L50)</f>
        <v>1870</v>
      </c>
      <c r="M52" s="15"/>
      <c r="N52" s="13">
        <f>SUM(N47:N50)</f>
        <v>5000</v>
      </c>
      <c r="O52" s="13">
        <f>SUM(O47:O50)</f>
        <v>1870</v>
      </c>
      <c r="P52" s="15"/>
      <c r="Q52" s="13">
        <f>SUM(Q47:Q50)</f>
        <v>5000</v>
      </c>
      <c r="R52" s="15"/>
    </row>
    <row r="53" spans="1:18" x14ac:dyDescent="0.3">
      <c r="A53" s="14"/>
      <c r="B53" s="15"/>
      <c r="C53" s="16"/>
      <c r="D53" s="15"/>
      <c r="E53" s="16"/>
      <c r="F53" s="16"/>
      <c r="G53" s="15"/>
      <c r="H53" s="16"/>
      <c r="I53" s="16"/>
      <c r="J53" s="15"/>
      <c r="K53" s="16"/>
      <c r="L53" s="16"/>
      <c r="M53" s="15"/>
      <c r="N53" s="16"/>
      <c r="O53" s="16"/>
      <c r="P53" s="15"/>
      <c r="Q53" s="16"/>
      <c r="R53" s="15"/>
    </row>
    <row r="54" spans="1:18" x14ac:dyDescent="0.3">
      <c r="A54" s="22" t="s">
        <v>37</v>
      </c>
      <c r="B54" s="15"/>
      <c r="C54" s="16"/>
      <c r="D54" s="15"/>
      <c r="E54" s="16"/>
      <c r="F54" s="16"/>
      <c r="G54" s="15"/>
      <c r="H54" s="16"/>
      <c r="I54" s="16"/>
      <c r="J54" s="15"/>
      <c r="K54" s="16"/>
      <c r="L54" s="16"/>
      <c r="M54" s="15"/>
      <c r="N54" s="16"/>
      <c r="O54" s="16"/>
      <c r="P54" s="15"/>
      <c r="Q54" s="16"/>
      <c r="R54" s="15"/>
    </row>
    <row r="55" spans="1:18" x14ac:dyDescent="0.3">
      <c r="A55" s="23" t="s">
        <v>38</v>
      </c>
      <c r="B55" s="15"/>
      <c r="C55" s="16"/>
      <c r="D55" s="15"/>
      <c r="E55" s="16"/>
      <c r="F55" s="16"/>
      <c r="G55" s="15"/>
      <c r="H55" s="16"/>
      <c r="I55" s="16"/>
      <c r="J55" s="15"/>
      <c r="K55" s="16"/>
      <c r="L55" s="16"/>
      <c r="M55" s="15"/>
      <c r="N55" s="16"/>
      <c r="O55" s="16"/>
      <c r="P55" s="15"/>
      <c r="Q55" s="16"/>
      <c r="R55" s="15"/>
    </row>
    <row r="56" spans="1:18" x14ac:dyDescent="0.3">
      <c r="A56" s="24" t="s">
        <v>39</v>
      </c>
      <c r="B56" s="15"/>
      <c r="C56" s="26">
        <f>SUM(C49)</f>
        <v>0</v>
      </c>
      <c r="D56" s="15"/>
      <c r="E56" s="26">
        <f>SUM(E49)</f>
        <v>0</v>
      </c>
      <c r="F56" s="26">
        <f>SUM(F49)</f>
        <v>746.25</v>
      </c>
      <c r="G56" s="15"/>
      <c r="H56" s="26">
        <f>SUM(H49)</f>
        <v>0</v>
      </c>
      <c r="I56" s="26">
        <f>SUM(I49)</f>
        <v>750</v>
      </c>
      <c r="J56" s="15"/>
      <c r="K56" s="26">
        <f>SUM(K49)</f>
        <v>1695</v>
      </c>
      <c r="L56" s="26">
        <f>SUM(L49)</f>
        <v>1276.5</v>
      </c>
      <c r="M56" s="15"/>
      <c r="N56" s="26">
        <f>SUM(N49)</f>
        <v>2991</v>
      </c>
      <c r="O56" s="26">
        <f>SUM(O49)</f>
        <v>93.5</v>
      </c>
      <c r="P56" s="15"/>
      <c r="Q56" s="26">
        <f>SUM(Q49)</f>
        <v>2991</v>
      </c>
      <c r="R56" s="15"/>
    </row>
    <row r="57" spans="1:18" x14ac:dyDescent="0.3">
      <c r="A57" s="25" t="s">
        <v>40</v>
      </c>
      <c r="B57" s="15"/>
      <c r="C57" s="26">
        <v>0</v>
      </c>
      <c r="D57" s="15"/>
      <c r="E57" s="26">
        <v>0</v>
      </c>
      <c r="F57" s="26">
        <v>0</v>
      </c>
      <c r="G57" s="15"/>
      <c r="H57" s="26">
        <v>0</v>
      </c>
      <c r="I57" s="26">
        <v>0</v>
      </c>
      <c r="J57" s="15"/>
      <c r="K57" s="26">
        <v>0</v>
      </c>
      <c r="L57" s="26">
        <v>0</v>
      </c>
      <c r="M57" s="15"/>
      <c r="N57" s="26">
        <v>0</v>
      </c>
      <c r="O57" s="26">
        <v>0</v>
      </c>
      <c r="P57" s="15"/>
      <c r="Q57" s="26">
        <v>0</v>
      </c>
      <c r="R57" s="15"/>
    </row>
    <row r="58" spans="1:18" x14ac:dyDescent="0.3">
      <c r="A58" s="46" t="s">
        <v>41</v>
      </c>
      <c r="B58" s="15"/>
      <c r="C58" s="83"/>
      <c r="D58" s="15"/>
      <c r="E58" s="83"/>
      <c r="F58" s="83"/>
      <c r="G58" s="15"/>
      <c r="H58" s="83"/>
      <c r="I58" s="17"/>
      <c r="J58" s="15"/>
      <c r="K58" s="83"/>
      <c r="L58" s="17"/>
      <c r="M58" s="15"/>
      <c r="N58" s="83"/>
      <c r="O58" s="17"/>
      <c r="P58" s="15"/>
      <c r="Q58" s="17"/>
      <c r="R58" s="15"/>
    </row>
    <row r="59" spans="1:18" ht="52" x14ac:dyDescent="0.3">
      <c r="A59" s="47" t="s">
        <v>42</v>
      </c>
      <c r="B59" s="15"/>
      <c r="C59" s="27">
        <f>C47+0+0+C48+C50+C56+C57</f>
        <v>440</v>
      </c>
      <c r="D59" s="15"/>
      <c r="E59" s="27">
        <f>E47+0+0+E48+E50+E56+E57</f>
        <v>475</v>
      </c>
      <c r="F59" s="27">
        <f>F47+0+0+F48+F50+F56+F57</f>
        <v>1000</v>
      </c>
      <c r="G59" s="15"/>
      <c r="H59" s="27">
        <f>H47+0+0+H48+H50+H56+H57</f>
        <v>480</v>
      </c>
      <c r="I59" s="27">
        <f>I47+0+0+I48+I50+I56+I57</f>
        <v>1000</v>
      </c>
      <c r="J59" s="15"/>
      <c r="K59" s="27">
        <f>K47+0+0+K48+K50+K56+K57</f>
        <v>2740</v>
      </c>
      <c r="L59" s="27">
        <f>L47+0+0+L48+L50+L56+L57</f>
        <v>1870</v>
      </c>
      <c r="M59" s="15"/>
      <c r="N59" s="27">
        <f>N47+0+0+N48+N50+N56+N57</f>
        <v>5000</v>
      </c>
      <c r="O59" s="27">
        <f>O47+0+0+O48+O50+O56+O57</f>
        <v>1870</v>
      </c>
      <c r="P59" s="15"/>
      <c r="Q59" s="27">
        <f>Q47+0+0+Q48+Q50+Q56+Q57</f>
        <v>5000</v>
      </c>
      <c r="R59" s="15"/>
    </row>
    <row r="60" spans="1:18" x14ac:dyDescent="0.3">
      <c r="J60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66"/>
  <sheetViews>
    <sheetView zoomScale="90" zoomScaleNormal="90" workbookViewId="0">
      <pane xSplit="2" ySplit="1" topLeftCell="D29" activePane="bottomRight" state="frozen"/>
      <selection pane="topRight" activeCell="C1" sqref="C1"/>
      <selection pane="bottomLeft" activeCell="A2" sqref="A2"/>
      <selection pane="bottomRight" activeCell="A39" sqref="A39:XFD42"/>
    </sheetView>
  </sheetViews>
  <sheetFormatPr defaultColWidth="9.1796875" defaultRowHeight="12" x14ac:dyDescent="0.3"/>
  <cols>
    <col min="1" max="1" width="51" style="51" customWidth="1"/>
    <col min="2" max="2" width="3.26953125" style="51" customWidth="1"/>
    <col min="3" max="3" width="19.7265625" style="65" customWidth="1"/>
    <col min="4" max="4" width="3.26953125" style="51" customWidth="1"/>
    <col min="5" max="5" width="18.81640625" style="65" customWidth="1"/>
    <col min="6" max="6" width="3.26953125" style="51" customWidth="1"/>
    <col min="7" max="7" width="20.1796875" style="65" customWidth="1"/>
    <col min="8" max="8" width="3.26953125" style="51" customWidth="1"/>
    <col min="9" max="9" width="21.81640625" style="65" customWidth="1"/>
    <col min="10" max="10" width="3.26953125" style="51" customWidth="1"/>
    <col min="11" max="11" width="21.81640625" style="65" customWidth="1"/>
    <col min="12" max="12" width="3.26953125" style="51" customWidth="1"/>
    <col min="13" max="13" width="21.81640625" style="65" customWidth="1"/>
    <col min="14" max="14" width="3.26953125" style="51" customWidth="1"/>
    <col min="15" max="16384" width="9.1796875" style="51"/>
  </cols>
  <sheetData>
    <row r="1" spans="1:14" ht="164.25" customHeight="1" x14ac:dyDescent="0.3">
      <c r="A1" s="48" t="s">
        <v>118</v>
      </c>
      <c r="B1" s="49"/>
      <c r="C1" s="84" t="s">
        <v>55</v>
      </c>
      <c r="D1" s="49"/>
      <c r="E1" s="50" t="s">
        <v>87</v>
      </c>
      <c r="F1" s="49"/>
      <c r="G1" s="50" t="s">
        <v>88</v>
      </c>
      <c r="H1" s="49"/>
      <c r="I1" s="88" t="s">
        <v>133</v>
      </c>
      <c r="J1" s="49"/>
      <c r="K1" s="50" t="s">
        <v>90</v>
      </c>
      <c r="L1" s="49"/>
      <c r="M1" s="84" t="s">
        <v>78</v>
      </c>
      <c r="N1" s="49"/>
    </row>
    <row r="2" spans="1:14" x14ac:dyDescent="0.3">
      <c r="A2" s="52" t="s">
        <v>65</v>
      </c>
      <c r="B2" s="53"/>
      <c r="C2" s="54" t="s">
        <v>31</v>
      </c>
      <c r="D2" s="55"/>
      <c r="E2" s="54" t="s">
        <v>31</v>
      </c>
      <c r="F2" s="53"/>
      <c r="G2" s="54" t="s">
        <v>31</v>
      </c>
      <c r="H2" s="53"/>
      <c r="I2" s="54" t="s">
        <v>31</v>
      </c>
      <c r="J2" s="53"/>
      <c r="K2" s="54" t="s">
        <v>31</v>
      </c>
      <c r="L2" s="53"/>
      <c r="M2" s="54" t="s">
        <v>31</v>
      </c>
      <c r="N2" s="53"/>
    </row>
    <row r="3" spans="1:14" x14ac:dyDescent="0.3">
      <c r="A3" s="52" t="s">
        <v>29</v>
      </c>
      <c r="B3" s="53"/>
      <c r="C3" s="54">
        <v>20</v>
      </c>
      <c r="D3" s="55"/>
      <c r="E3" s="54">
        <v>20</v>
      </c>
      <c r="F3" s="53"/>
      <c r="G3" s="54">
        <v>20</v>
      </c>
      <c r="H3" s="53"/>
      <c r="I3" s="54">
        <v>20</v>
      </c>
      <c r="J3" s="53"/>
      <c r="K3" s="54">
        <v>20</v>
      </c>
      <c r="L3" s="53"/>
      <c r="M3" s="54">
        <v>20</v>
      </c>
      <c r="N3" s="53"/>
    </row>
    <row r="4" spans="1:14" x14ac:dyDescent="0.3">
      <c r="A4" s="52" t="s">
        <v>30</v>
      </c>
      <c r="B4" s="53"/>
      <c r="C4" s="54">
        <v>30</v>
      </c>
      <c r="D4" s="55"/>
      <c r="E4" s="54">
        <v>30</v>
      </c>
      <c r="F4" s="53"/>
      <c r="G4" s="54">
        <v>30</v>
      </c>
      <c r="H4" s="53"/>
      <c r="I4" s="54">
        <v>30</v>
      </c>
      <c r="J4" s="53"/>
      <c r="K4" s="54">
        <v>30</v>
      </c>
      <c r="L4" s="53"/>
      <c r="M4" s="54">
        <v>30</v>
      </c>
      <c r="N4" s="53"/>
    </row>
    <row r="5" spans="1:14" x14ac:dyDescent="0.3">
      <c r="A5" s="52" t="s">
        <v>27</v>
      </c>
      <c r="B5" s="53"/>
      <c r="C5" s="56"/>
      <c r="D5" s="55"/>
      <c r="E5" s="56"/>
      <c r="F5" s="53"/>
      <c r="G5" s="56"/>
      <c r="H5" s="53"/>
      <c r="I5" s="56"/>
      <c r="J5" s="53"/>
      <c r="K5" s="56"/>
      <c r="L5" s="53"/>
      <c r="M5" s="56"/>
      <c r="N5" s="53"/>
    </row>
    <row r="6" spans="1:14" x14ac:dyDescent="0.3">
      <c r="A6" s="52" t="s">
        <v>1</v>
      </c>
      <c r="B6" s="53"/>
      <c r="C6" s="54">
        <v>440</v>
      </c>
      <c r="D6" s="55"/>
      <c r="E6" s="54">
        <v>1000</v>
      </c>
      <c r="F6" s="53"/>
      <c r="G6" s="54">
        <v>1000</v>
      </c>
      <c r="H6" s="53"/>
      <c r="I6" s="54">
        <v>1000</v>
      </c>
      <c r="J6" s="53"/>
      <c r="K6" s="57">
        <v>1000</v>
      </c>
      <c r="L6" s="53"/>
      <c r="M6" s="54">
        <v>5000</v>
      </c>
      <c r="N6" s="53"/>
    </row>
    <row r="7" spans="1:14" x14ac:dyDescent="0.3">
      <c r="A7" s="58" t="s">
        <v>91</v>
      </c>
      <c r="B7" s="53"/>
      <c r="C7" s="54">
        <v>440</v>
      </c>
      <c r="D7" s="55"/>
      <c r="E7" s="54">
        <v>1000</v>
      </c>
      <c r="F7" s="53"/>
      <c r="G7" s="54">
        <v>1000</v>
      </c>
      <c r="H7" s="53"/>
      <c r="I7" s="54">
        <v>1000</v>
      </c>
      <c r="J7" s="53"/>
      <c r="K7" s="57">
        <v>1000</v>
      </c>
      <c r="L7" s="53"/>
      <c r="M7" s="54">
        <v>5000</v>
      </c>
      <c r="N7" s="53"/>
    </row>
    <row r="8" spans="1:14" x14ac:dyDescent="0.3">
      <c r="A8" s="59" t="s">
        <v>19</v>
      </c>
      <c r="B8" s="53"/>
      <c r="C8" s="54">
        <v>0</v>
      </c>
      <c r="D8" s="55"/>
      <c r="E8" s="54">
        <v>475</v>
      </c>
      <c r="F8" s="53"/>
      <c r="G8" s="54">
        <v>480</v>
      </c>
      <c r="H8" s="53"/>
      <c r="I8" s="54">
        <v>3610</v>
      </c>
      <c r="J8" s="53"/>
      <c r="K8" s="54">
        <v>4430</v>
      </c>
      <c r="L8" s="53"/>
      <c r="M8" s="54">
        <v>0</v>
      </c>
      <c r="N8" s="53"/>
    </row>
    <row r="9" spans="1:14" x14ac:dyDescent="0.3">
      <c r="A9" s="59" t="s">
        <v>18</v>
      </c>
      <c r="B9" s="53"/>
      <c r="C9" s="54">
        <v>0</v>
      </c>
      <c r="D9" s="55"/>
      <c r="E9" s="54">
        <v>0</v>
      </c>
      <c r="F9" s="53"/>
      <c r="G9" s="54">
        <v>0</v>
      </c>
      <c r="H9" s="53"/>
      <c r="I9" s="54">
        <v>0</v>
      </c>
      <c r="J9" s="53"/>
      <c r="K9" s="54">
        <v>0</v>
      </c>
      <c r="L9" s="53"/>
      <c r="M9" s="54">
        <v>0</v>
      </c>
      <c r="N9" s="53"/>
    </row>
    <row r="10" spans="1:14" x14ac:dyDescent="0.3">
      <c r="A10" s="60" t="s">
        <v>6</v>
      </c>
      <c r="B10" s="53"/>
      <c r="C10" s="61"/>
      <c r="D10" s="53"/>
      <c r="E10" s="61"/>
      <c r="F10" s="53"/>
      <c r="G10" s="61"/>
      <c r="H10" s="53"/>
      <c r="I10" s="61"/>
      <c r="J10" s="53"/>
      <c r="K10" s="61"/>
      <c r="L10" s="53"/>
      <c r="M10" s="61"/>
      <c r="N10" s="53"/>
    </row>
    <row r="11" spans="1:14" x14ac:dyDescent="0.3">
      <c r="A11" s="62" t="s">
        <v>20</v>
      </c>
      <c r="B11" s="53"/>
      <c r="C11" s="63">
        <f>IF(C8&gt;480,0,MIN(480-C8,C6))</f>
        <v>440</v>
      </c>
      <c r="D11" s="53"/>
      <c r="E11" s="63">
        <f>IF(E8&gt;480,0,MIN(480-E8,E6))</f>
        <v>5</v>
      </c>
      <c r="F11" s="53"/>
      <c r="G11" s="63">
        <f>IF(G8&gt;480,0,MIN(480-G8,G6))</f>
        <v>0</v>
      </c>
      <c r="H11" s="53"/>
      <c r="I11" s="63">
        <f>IF(I8&gt;480,0,MIN(480-I8,I6))</f>
        <v>0</v>
      </c>
      <c r="J11" s="53"/>
      <c r="K11" s="63">
        <f>IF(K8&gt;480,0,MIN(480-K8,K6))</f>
        <v>0</v>
      </c>
      <c r="L11" s="53"/>
      <c r="M11" s="63">
        <f>IF(M8&gt;480,0,MIN(480-M8,M6))</f>
        <v>480</v>
      </c>
      <c r="N11" s="53"/>
    </row>
    <row r="12" spans="1:14" x14ac:dyDescent="0.3">
      <c r="A12" s="64" t="s">
        <v>69</v>
      </c>
      <c r="B12" s="53"/>
      <c r="C12" s="54">
        <f>C11*100%</f>
        <v>440</v>
      </c>
      <c r="D12" s="53"/>
      <c r="E12" s="54">
        <f>E11*100%</f>
        <v>5</v>
      </c>
      <c r="F12" s="53"/>
      <c r="G12" s="54">
        <f>G11*100%</f>
        <v>0</v>
      </c>
      <c r="H12" s="53"/>
      <c r="I12" s="54">
        <f>I11*100%</f>
        <v>0</v>
      </c>
      <c r="J12" s="53"/>
      <c r="K12" s="54">
        <f>K11*100%</f>
        <v>0</v>
      </c>
      <c r="L12" s="53"/>
      <c r="M12" s="54">
        <f>M11*100%</f>
        <v>480</v>
      </c>
      <c r="N12" s="53"/>
    </row>
    <row r="13" spans="1:14" x14ac:dyDescent="0.3">
      <c r="A13" s="64" t="s">
        <v>15</v>
      </c>
      <c r="B13" s="53"/>
      <c r="C13" s="54">
        <f>C11-C12</f>
        <v>0</v>
      </c>
      <c r="D13" s="53"/>
      <c r="E13" s="54">
        <f>E11-E12</f>
        <v>0</v>
      </c>
      <c r="F13" s="53"/>
      <c r="G13" s="54">
        <f>G11-G12</f>
        <v>0</v>
      </c>
      <c r="H13" s="53"/>
      <c r="I13" s="54">
        <f>I11-I12</f>
        <v>0</v>
      </c>
      <c r="J13" s="53"/>
      <c r="K13" s="54">
        <f>K11-K12</f>
        <v>0</v>
      </c>
      <c r="L13" s="53"/>
      <c r="M13" s="54">
        <f>M11-M12</f>
        <v>0</v>
      </c>
      <c r="N13" s="53"/>
    </row>
    <row r="14" spans="1:14" x14ac:dyDescent="0.3">
      <c r="A14" s="62" t="s">
        <v>21</v>
      </c>
      <c r="B14" s="53"/>
      <c r="C14" s="63">
        <f>IF(C8&gt;4430,0,MIN(4430-C8-C11,C6-C11))</f>
        <v>0</v>
      </c>
      <c r="D14" s="53"/>
      <c r="E14" s="63">
        <f>IF(E8&gt;4430,0,MIN(4430-E8-E11,E6-E11))</f>
        <v>995</v>
      </c>
      <c r="F14" s="53"/>
      <c r="G14" s="63">
        <f>IF(G8&gt;4430,0,MIN(4430-G8-G11,G6-G11))</f>
        <v>1000</v>
      </c>
      <c r="H14" s="53"/>
      <c r="I14" s="63">
        <f>IF(I8&gt;4430,0,MIN(4430-I8-I11,I6-I11))</f>
        <v>820</v>
      </c>
      <c r="J14" s="53"/>
      <c r="K14" s="63">
        <f>IF(K8&gt;4430,0,MIN(4430-K8-K11,K6-K11))</f>
        <v>0</v>
      </c>
      <c r="L14" s="53"/>
      <c r="M14" s="63">
        <f>IF(M8&gt;4430,0,MIN(4430-M8-M11,M6-M11))</f>
        <v>3950</v>
      </c>
      <c r="N14" s="53"/>
    </row>
    <row r="15" spans="1:14" x14ac:dyDescent="0.3">
      <c r="A15" s="64" t="s">
        <v>70</v>
      </c>
      <c r="B15" s="53"/>
      <c r="C15" s="54">
        <f>SUM(C14)*25%</f>
        <v>0</v>
      </c>
      <c r="D15" s="53"/>
      <c r="E15" s="54">
        <f>SUM(E14)*25%</f>
        <v>248.75</v>
      </c>
      <c r="F15" s="53"/>
      <c r="G15" s="54">
        <f>SUM(G14)*25%</f>
        <v>250</v>
      </c>
      <c r="H15" s="53"/>
      <c r="I15" s="54">
        <f>SUM(I14)*25%</f>
        <v>205</v>
      </c>
      <c r="J15" s="53"/>
      <c r="K15" s="54">
        <f>SUM(K14)*25%</f>
        <v>0</v>
      </c>
      <c r="L15" s="53"/>
      <c r="M15" s="54">
        <f>SUM(M14)*25%</f>
        <v>987.5</v>
      </c>
      <c r="N15" s="53"/>
    </row>
    <row r="16" spans="1:14" x14ac:dyDescent="0.3">
      <c r="A16" s="64" t="s">
        <v>9</v>
      </c>
      <c r="B16" s="53"/>
      <c r="C16" s="54">
        <f>C14-C15</f>
        <v>0</v>
      </c>
      <c r="D16" s="53"/>
      <c r="E16" s="54">
        <f>E14-E15</f>
        <v>746.25</v>
      </c>
      <c r="F16" s="53"/>
      <c r="G16" s="54">
        <f>G14-G15</f>
        <v>750</v>
      </c>
      <c r="H16" s="53"/>
      <c r="I16" s="54">
        <f>I14-I15</f>
        <v>615</v>
      </c>
      <c r="J16" s="53"/>
      <c r="K16" s="54">
        <f>K14-K15</f>
        <v>0</v>
      </c>
      <c r="L16" s="53"/>
      <c r="M16" s="54">
        <f>M14-M15</f>
        <v>2962.5</v>
      </c>
      <c r="N16" s="53"/>
    </row>
    <row r="17" spans="1:14" x14ac:dyDescent="0.3">
      <c r="A17" s="62" t="s">
        <v>25</v>
      </c>
      <c r="B17" s="53"/>
      <c r="C17" s="63">
        <f>SUM(C7-C11-C14)</f>
        <v>0</v>
      </c>
      <c r="D17" s="53"/>
      <c r="E17" s="63">
        <f>SUM(E7-E11-E14)</f>
        <v>0</v>
      </c>
      <c r="F17" s="53"/>
      <c r="G17" s="63">
        <f>SUM(G7-G11-G14)</f>
        <v>0</v>
      </c>
      <c r="H17" s="53"/>
      <c r="I17" s="63">
        <f>SUM(I7-I11-I14)</f>
        <v>180</v>
      </c>
      <c r="J17" s="53"/>
      <c r="K17" s="63">
        <f>SUM(K7-K11-K14)</f>
        <v>1000</v>
      </c>
      <c r="L17" s="53"/>
      <c r="M17" s="63">
        <f>SUM(M7-M11-M14)</f>
        <v>570</v>
      </c>
      <c r="N17" s="53"/>
    </row>
    <row r="18" spans="1:14" x14ac:dyDescent="0.3">
      <c r="A18" s="62" t="s">
        <v>43</v>
      </c>
      <c r="B18" s="53"/>
      <c r="C18" s="63">
        <f>7050-C9-C12-C15</f>
        <v>6610</v>
      </c>
      <c r="D18" s="53"/>
      <c r="E18" s="63">
        <f>7050-E9-E12-E15</f>
        <v>6796.25</v>
      </c>
      <c r="F18" s="53"/>
      <c r="G18" s="63">
        <f>7050-G9-G12-G15</f>
        <v>6800</v>
      </c>
      <c r="H18" s="53"/>
      <c r="I18" s="63">
        <f>7050-I9-I12-I15</f>
        <v>6845</v>
      </c>
      <c r="J18" s="53"/>
      <c r="K18" s="63">
        <f>7050-K9-K12-K15</f>
        <v>7050</v>
      </c>
      <c r="L18" s="53"/>
      <c r="M18" s="63">
        <f>7050-M9-M12-M15</f>
        <v>5582.5</v>
      </c>
      <c r="N18" s="53"/>
    </row>
    <row r="19" spans="1:14" x14ac:dyDescent="0.3">
      <c r="A19" s="62" t="s">
        <v>22</v>
      </c>
      <c r="B19" s="53"/>
      <c r="C19" s="63">
        <f>IF(C17=0,0,MIN(C17,C18/95%))</f>
        <v>0</v>
      </c>
      <c r="D19" s="53"/>
      <c r="E19" s="63">
        <f>IF(E17=0,0,MIN(E17,E18/95%))</f>
        <v>0</v>
      </c>
      <c r="F19" s="53"/>
      <c r="G19" s="63">
        <f>IF(G17=0,0,MIN(G17,G18/95%))</f>
        <v>0</v>
      </c>
      <c r="H19" s="53"/>
      <c r="I19" s="63">
        <f>IF(I17=0,0,MIN(I17,I18/95%))</f>
        <v>180</v>
      </c>
      <c r="J19" s="53"/>
      <c r="K19" s="63">
        <f>IF(K17=0,0,MIN(K17,K18/95%))</f>
        <v>1000</v>
      </c>
      <c r="L19" s="53"/>
      <c r="M19" s="63">
        <f>IF(M17=0,0,MIN(M17,M18/95%))</f>
        <v>570</v>
      </c>
      <c r="N19" s="53"/>
    </row>
    <row r="20" spans="1:14" x14ac:dyDescent="0.3">
      <c r="A20" s="62" t="s">
        <v>24</v>
      </c>
      <c r="B20" s="53"/>
      <c r="C20" s="63">
        <f>C19</f>
        <v>0</v>
      </c>
      <c r="D20" s="53"/>
      <c r="E20" s="63">
        <f>E19</f>
        <v>0</v>
      </c>
      <c r="F20" s="53"/>
      <c r="G20" s="63">
        <f>G19</f>
        <v>0</v>
      </c>
      <c r="H20" s="53"/>
      <c r="I20" s="63">
        <f>I19</f>
        <v>180</v>
      </c>
      <c r="J20" s="53"/>
      <c r="K20" s="63">
        <f>K19</f>
        <v>1000</v>
      </c>
      <c r="L20" s="53"/>
      <c r="M20" s="63">
        <f>M19</f>
        <v>570</v>
      </c>
      <c r="N20" s="53"/>
    </row>
    <row r="21" spans="1:14" x14ac:dyDescent="0.3">
      <c r="A21" s="64" t="s">
        <v>73</v>
      </c>
      <c r="B21" s="53"/>
      <c r="C21" s="54">
        <f>C19*95%-C22</f>
        <v>0</v>
      </c>
      <c r="D21" s="53"/>
      <c r="E21" s="54">
        <f>E19*95%-E22</f>
        <v>0</v>
      </c>
      <c r="F21" s="53"/>
      <c r="G21" s="54">
        <f>G19*95%-G22</f>
        <v>0</v>
      </c>
      <c r="H21" s="53"/>
      <c r="I21" s="54">
        <f>I19*95%-I22</f>
        <v>45</v>
      </c>
      <c r="J21" s="53"/>
      <c r="K21" s="54">
        <f>K19*95%-K22</f>
        <v>250</v>
      </c>
      <c r="L21" s="53"/>
      <c r="M21" s="54">
        <f>M19*95%-M22</f>
        <v>142.5</v>
      </c>
      <c r="N21" s="53"/>
    </row>
    <row r="22" spans="1:14" x14ac:dyDescent="0.3">
      <c r="A22" s="64" t="s">
        <v>71</v>
      </c>
      <c r="B22" s="53"/>
      <c r="C22" s="54">
        <f>C20*70%</f>
        <v>0</v>
      </c>
      <c r="D22" s="53"/>
      <c r="E22" s="54">
        <f>E20*70%</f>
        <v>0</v>
      </c>
      <c r="F22" s="53"/>
      <c r="G22" s="54">
        <f>G20*70%</f>
        <v>0</v>
      </c>
      <c r="H22" s="53"/>
      <c r="I22" s="54">
        <f>I20*70%</f>
        <v>126</v>
      </c>
      <c r="J22" s="53"/>
      <c r="K22" s="54">
        <f>K20*70%</f>
        <v>700</v>
      </c>
      <c r="L22" s="53"/>
      <c r="M22" s="54">
        <f>M20*70%</f>
        <v>399</v>
      </c>
      <c r="N22" s="53"/>
    </row>
    <row r="23" spans="1:14" x14ac:dyDescent="0.3">
      <c r="A23" s="64" t="s">
        <v>12</v>
      </c>
      <c r="B23" s="53"/>
      <c r="C23" s="54">
        <f>SUM(C19-C21-C22)</f>
        <v>0</v>
      </c>
      <c r="D23" s="53"/>
      <c r="E23" s="54">
        <f>SUM(E19-E21-E22)</f>
        <v>0</v>
      </c>
      <c r="F23" s="53"/>
      <c r="G23" s="54">
        <f>SUM(G19-G21-G22)</f>
        <v>0</v>
      </c>
      <c r="H23" s="53"/>
      <c r="I23" s="54">
        <f>SUM(I19-I21-I22)</f>
        <v>9</v>
      </c>
      <c r="J23" s="53"/>
      <c r="K23" s="54">
        <f>SUM(K19-K21-K22)</f>
        <v>50</v>
      </c>
      <c r="L23" s="53"/>
      <c r="M23" s="54">
        <f>SUM(M19-M21-M22)</f>
        <v>28.5</v>
      </c>
      <c r="N23" s="53"/>
    </row>
    <row r="24" spans="1:14" x14ac:dyDescent="0.3">
      <c r="A24" s="62" t="s">
        <v>23</v>
      </c>
      <c r="B24" s="53"/>
      <c r="C24" s="63">
        <f>SUM(C6-C11-C14-C19)</f>
        <v>0</v>
      </c>
      <c r="D24" s="53"/>
      <c r="E24" s="63">
        <f>SUM(E6-E11-E14-E19)</f>
        <v>0</v>
      </c>
      <c r="F24" s="53"/>
      <c r="G24" s="63">
        <f>SUM(G6-G11-G14-G19)</f>
        <v>0</v>
      </c>
      <c r="H24" s="53"/>
      <c r="I24" s="63">
        <f>SUM(I6-I11-I14-I19)</f>
        <v>0</v>
      </c>
      <c r="J24" s="53"/>
      <c r="K24" s="63">
        <f>SUM(K6-K11-K14-K19)</f>
        <v>0</v>
      </c>
      <c r="L24" s="53"/>
      <c r="M24" s="63">
        <f>SUM(M6-M11-M14-M19)</f>
        <v>0</v>
      </c>
      <c r="N24" s="53"/>
    </row>
    <row r="25" spans="1:14" x14ac:dyDescent="0.3">
      <c r="A25" s="64" t="s">
        <v>72</v>
      </c>
      <c r="B25" s="53"/>
      <c r="C25" s="54">
        <f>SUM(C24*5%)</f>
        <v>0</v>
      </c>
      <c r="D25" s="53"/>
      <c r="E25" s="54">
        <f>SUM(E24*5%)</f>
        <v>0</v>
      </c>
      <c r="F25" s="53"/>
      <c r="G25" s="54">
        <f>SUM(G24*5%)</f>
        <v>0</v>
      </c>
      <c r="H25" s="53"/>
      <c r="I25" s="54">
        <f>SUM(I24*5%)</f>
        <v>0</v>
      </c>
      <c r="J25" s="53"/>
      <c r="K25" s="54">
        <f>SUM(K24*5%)</f>
        <v>0</v>
      </c>
      <c r="L25" s="53"/>
      <c r="M25" s="54">
        <f>SUM(M24*5%)</f>
        <v>0</v>
      </c>
      <c r="N25" s="53"/>
    </row>
    <row r="26" spans="1:14" x14ac:dyDescent="0.3">
      <c r="A26" s="64" t="s">
        <v>16</v>
      </c>
      <c r="B26" s="53"/>
      <c r="C26" s="54">
        <f>SUM(C24-C25)</f>
        <v>0</v>
      </c>
      <c r="D26" s="53"/>
      <c r="E26" s="54">
        <f>SUM(E24-E25)</f>
        <v>0</v>
      </c>
      <c r="F26" s="53"/>
      <c r="G26" s="54">
        <f>SUM(G24-G25)</f>
        <v>0</v>
      </c>
      <c r="H26" s="53"/>
      <c r="I26" s="54">
        <f>SUM(I24-I25)</f>
        <v>0</v>
      </c>
      <c r="J26" s="53"/>
      <c r="K26" s="54">
        <f>SUM(K24-K25)</f>
        <v>0</v>
      </c>
      <c r="L26" s="53"/>
      <c r="M26" s="54">
        <f>SUM(M24-M25)</f>
        <v>0</v>
      </c>
      <c r="N26" s="53"/>
    </row>
    <row r="27" spans="1:14" x14ac:dyDescent="0.3">
      <c r="A27" s="62" t="s">
        <v>26</v>
      </c>
      <c r="B27" s="53"/>
      <c r="C27" s="63">
        <v>0</v>
      </c>
      <c r="D27" s="53"/>
      <c r="E27" s="63">
        <v>0</v>
      </c>
      <c r="F27" s="53"/>
      <c r="G27" s="63">
        <v>0</v>
      </c>
      <c r="H27" s="53"/>
      <c r="I27" s="63">
        <v>0</v>
      </c>
      <c r="J27" s="53"/>
      <c r="K27" s="63">
        <v>0</v>
      </c>
      <c r="L27" s="53"/>
      <c r="M27" s="63">
        <v>0</v>
      </c>
      <c r="N27" s="53"/>
    </row>
    <row r="28" spans="1:14" x14ac:dyDescent="0.3">
      <c r="A28" s="85" t="s">
        <v>52</v>
      </c>
      <c r="B28" s="53"/>
      <c r="C28" s="54">
        <v>80</v>
      </c>
      <c r="D28" s="53"/>
      <c r="E28" s="54">
        <v>80</v>
      </c>
      <c r="F28" s="53"/>
      <c r="G28" s="54">
        <v>80</v>
      </c>
      <c r="H28" s="53"/>
      <c r="I28" s="54">
        <v>80</v>
      </c>
      <c r="J28" s="53"/>
      <c r="K28" s="54">
        <v>80</v>
      </c>
      <c r="L28" s="53"/>
      <c r="M28" s="54">
        <v>80</v>
      </c>
      <c r="N28" s="53"/>
    </row>
    <row r="29" spans="1:14" x14ac:dyDescent="0.3">
      <c r="A29" s="64" t="s">
        <v>48</v>
      </c>
      <c r="B29" s="53"/>
      <c r="C29" s="54">
        <v>80</v>
      </c>
      <c r="D29" s="53"/>
      <c r="E29" s="54">
        <v>80</v>
      </c>
      <c r="F29" s="53"/>
      <c r="G29" s="54">
        <v>80</v>
      </c>
      <c r="H29" s="53"/>
      <c r="I29" s="54">
        <v>80</v>
      </c>
      <c r="J29" s="53"/>
      <c r="K29" s="54">
        <v>80</v>
      </c>
      <c r="L29" s="53"/>
      <c r="M29" s="54">
        <v>80</v>
      </c>
      <c r="N29" s="53"/>
    </row>
    <row r="30" spans="1:14" x14ac:dyDescent="0.3">
      <c r="A30" s="85" t="s">
        <v>49</v>
      </c>
      <c r="B30" s="53"/>
      <c r="C30" s="54">
        <f>IF(C11=0,0,MIN(80,C11))</f>
        <v>80</v>
      </c>
      <c r="D30" s="53"/>
      <c r="E30" s="54">
        <f>IF(E11=0,0,MIN(80,E11))</f>
        <v>5</v>
      </c>
      <c r="F30" s="53"/>
      <c r="G30" s="54">
        <f>IF(G11=0,0,MIN(80,G11))</f>
        <v>0</v>
      </c>
      <c r="H30" s="53"/>
      <c r="I30" s="54">
        <f>IF(I11=0,0,MIN(80,I11))</f>
        <v>0</v>
      </c>
      <c r="J30" s="53"/>
      <c r="K30" s="54">
        <f>IF(K11=0,0,MIN(80,K11))</f>
        <v>0</v>
      </c>
      <c r="L30" s="53"/>
      <c r="M30" s="54">
        <f>IF(M11=0,0,MIN(80,M11))</f>
        <v>80</v>
      </c>
      <c r="N30" s="53"/>
    </row>
    <row r="31" spans="1:14" x14ac:dyDescent="0.3">
      <c r="A31" s="64" t="s">
        <v>116</v>
      </c>
      <c r="B31" s="53"/>
      <c r="C31" s="54">
        <f>MIN(50%*(C11-C30),C2,C11)</f>
        <v>180</v>
      </c>
      <c r="D31" s="53"/>
      <c r="E31" s="54">
        <f>MIN(50%*(E11-E30),E2,E11)</f>
        <v>0</v>
      </c>
      <c r="F31" s="53"/>
      <c r="G31" s="54">
        <f>MIN(50%*(G11-G30),G2,G11)</f>
        <v>0</v>
      </c>
      <c r="H31" s="53"/>
      <c r="I31" s="54">
        <f>MIN(50%*(I11-I30),I2,I11)</f>
        <v>0</v>
      </c>
      <c r="J31" s="53"/>
      <c r="K31" s="54">
        <f>MIN(50%*(K11-K30),K2,K11)</f>
        <v>0</v>
      </c>
      <c r="L31" s="53"/>
      <c r="M31" s="54">
        <f>MIN(50%*(M11-M30),M2,M11)</f>
        <v>200</v>
      </c>
      <c r="N31" s="53"/>
    </row>
    <row r="32" spans="1:14" x14ac:dyDescent="0.3">
      <c r="A32" s="85" t="s">
        <v>50</v>
      </c>
      <c r="B32" s="53"/>
      <c r="C32" s="54">
        <f>IF(C14=0,0,MIN(C29-C30,C14))</f>
        <v>0</v>
      </c>
      <c r="D32" s="53"/>
      <c r="E32" s="54">
        <f>IF(E14=0,0,MIN(E29-E30,E14))</f>
        <v>75</v>
      </c>
      <c r="F32" s="53"/>
      <c r="G32" s="54">
        <f>IF(G14=0,0,MIN(G29-G30,G14))</f>
        <v>80</v>
      </c>
      <c r="H32" s="53"/>
      <c r="I32" s="54">
        <f>IF(I14=0,0,MIN(I29-I30,I14))</f>
        <v>80</v>
      </c>
      <c r="J32" s="53"/>
      <c r="K32" s="54">
        <f>IF(K14=0,0,MIN(K29-K30,K14))</f>
        <v>0</v>
      </c>
      <c r="L32" s="53"/>
      <c r="M32" s="54">
        <f>IF(M14=0,0,MIN(M29-M30,M14))</f>
        <v>0</v>
      </c>
      <c r="N32" s="53"/>
    </row>
    <row r="33" spans="1:14" x14ac:dyDescent="0.3">
      <c r="A33" s="64" t="s">
        <v>47</v>
      </c>
      <c r="B33" s="53"/>
      <c r="C33" s="54">
        <f>IF(C14=0,0,MIN(25%*(C14-C32),C3,C14))</f>
        <v>0</v>
      </c>
      <c r="D33" s="53"/>
      <c r="E33" s="54">
        <f>IF(E14=0,0,MIN(25%*(E14-E32),E3,E14))</f>
        <v>20</v>
      </c>
      <c r="F33" s="53"/>
      <c r="G33" s="54">
        <f>IF(G14=0,0,MIN(25%*(G14-G32),G3,G14))</f>
        <v>20</v>
      </c>
      <c r="H33" s="53"/>
      <c r="I33" s="54">
        <f>IF(I14=0,0,MIN(25%*(I14-I32),I3,I14))</f>
        <v>20</v>
      </c>
      <c r="J33" s="53"/>
      <c r="K33" s="54">
        <f>IF(K14=0,0,MIN(25%*(K14-K32),K3,K14))</f>
        <v>0</v>
      </c>
      <c r="L33" s="53"/>
      <c r="M33" s="54">
        <f>IF(M14=0,0,MIN(25%*(M14-M32),M3,M14))</f>
        <v>20</v>
      </c>
      <c r="N33" s="53"/>
    </row>
    <row r="34" spans="1:14" x14ac:dyDescent="0.3">
      <c r="A34" s="85" t="s">
        <v>51</v>
      </c>
      <c r="B34" s="53"/>
      <c r="C34" s="54">
        <f>IF(C20=0,0,MIN(C19,C29-C30-C32))</f>
        <v>0</v>
      </c>
      <c r="D34" s="53"/>
      <c r="E34" s="54">
        <f>IF(E20=0,0,MIN(E19,E29-E30-E32))</f>
        <v>0</v>
      </c>
      <c r="F34" s="53"/>
      <c r="G34" s="54">
        <f>IF(G20=0,0,MIN(G19,G29-G30-G32))</f>
        <v>0</v>
      </c>
      <c r="H34" s="53"/>
      <c r="I34" s="54">
        <f>IF(I20=0,0,MIN(I19,I29-I30-I32))</f>
        <v>0</v>
      </c>
      <c r="J34" s="53"/>
      <c r="K34" s="54">
        <f>IF(K20=0,0,MIN(K19,K29-K30-K32))</f>
        <v>80</v>
      </c>
      <c r="L34" s="53"/>
      <c r="M34" s="54">
        <f>IF(M20=0,0,MIN(M19,M29-M30-M32))</f>
        <v>0</v>
      </c>
      <c r="N34" s="53"/>
    </row>
    <row r="35" spans="1:14" x14ac:dyDescent="0.3">
      <c r="A35" s="64" t="s">
        <v>35</v>
      </c>
      <c r="B35" s="53"/>
      <c r="C35" s="54">
        <f>IF(C19=0,0,MIN(25%*(C21-C34),C4,C19))</f>
        <v>0</v>
      </c>
      <c r="D35" s="53"/>
      <c r="E35" s="54">
        <f>IF(E19=0,0,MIN(25%*(E21-E34),E4,E19))</f>
        <v>0</v>
      </c>
      <c r="F35" s="53"/>
      <c r="G35" s="54">
        <f>IF(G19=0,0,MIN(25%*(G21-G34),G4,G19))</f>
        <v>0</v>
      </c>
      <c r="H35" s="53"/>
      <c r="I35" s="54">
        <v>0</v>
      </c>
      <c r="J35" s="53"/>
      <c r="K35" s="54">
        <f>IF(K19=0,0,MIN(25%*K19,K4,K19))</f>
        <v>30</v>
      </c>
      <c r="L35" s="53"/>
      <c r="M35" s="54">
        <v>0</v>
      </c>
      <c r="N35" s="53"/>
    </row>
    <row r="36" spans="1:14" x14ac:dyDescent="0.3">
      <c r="A36" s="85" t="s">
        <v>53</v>
      </c>
      <c r="B36" s="53"/>
      <c r="C36" s="54">
        <f>C37</f>
        <v>0</v>
      </c>
      <c r="D36" s="53"/>
      <c r="E36" s="54">
        <f>E37</f>
        <v>0</v>
      </c>
      <c r="F36" s="53"/>
      <c r="G36" s="54">
        <f>G37</f>
        <v>0</v>
      </c>
      <c r="H36" s="53"/>
      <c r="I36" s="54">
        <f>I37</f>
        <v>0</v>
      </c>
      <c r="J36" s="53"/>
      <c r="K36" s="54">
        <f>K37</f>
        <v>0</v>
      </c>
      <c r="L36" s="53"/>
      <c r="M36" s="54">
        <f>M37</f>
        <v>0</v>
      </c>
      <c r="N36" s="53"/>
    </row>
    <row r="37" spans="1:14" x14ac:dyDescent="0.3">
      <c r="A37" s="64" t="s">
        <v>28</v>
      </c>
      <c r="B37" s="53"/>
      <c r="C37" s="54">
        <f>IF(C24=0,0,IF(C19&gt;0,0,5))</f>
        <v>0</v>
      </c>
      <c r="D37" s="53"/>
      <c r="E37" s="54">
        <f>IF(E24=0,0,IF(E19&gt;0,0,5))</f>
        <v>0</v>
      </c>
      <c r="F37" s="53"/>
      <c r="G37" s="54">
        <f>IF(G24=0,0,IF(G19&gt;0,0,5))</f>
        <v>0</v>
      </c>
      <c r="H37" s="53"/>
      <c r="I37" s="54">
        <f>IF(I24=0,0,IF(I19&gt;0,0,5))</f>
        <v>0</v>
      </c>
      <c r="J37" s="53"/>
      <c r="K37" s="54">
        <f>IF(K24=0,0,IF(K19&gt;0,0,5))</f>
        <v>0</v>
      </c>
      <c r="L37" s="53"/>
      <c r="M37" s="54">
        <f>IF(M24=0,0,IF(M19&gt;0,0,5))</f>
        <v>0</v>
      </c>
      <c r="N37" s="53"/>
    </row>
    <row r="38" spans="1:14" x14ac:dyDescent="0.3">
      <c r="A38" s="60" t="s">
        <v>36</v>
      </c>
      <c r="B38" s="53"/>
      <c r="C38" s="61"/>
      <c r="D38" s="53"/>
      <c r="E38" s="61"/>
      <c r="F38" s="53"/>
      <c r="G38" s="61"/>
      <c r="H38" s="53"/>
      <c r="I38" s="61"/>
      <c r="J38" s="53"/>
      <c r="K38" s="61"/>
      <c r="L38" s="53"/>
      <c r="M38" s="61"/>
      <c r="N38" s="53"/>
    </row>
    <row r="39" spans="1:14" x14ac:dyDescent="0.3">
      <c r="A39" s="64" t="s">
        <v>54</v>
      </c>
      <c r="B39" s="53"/>
      <c r="C39" s="54">
        <f>C30+C32+C34+C36</f>
        <v>80</v>
      </c>
      <c r="D39" s="53"/>
      <c r="E39" s="54">
        <f>E30+E32+E34+E36</f>
        <v>80</v>
      </c>
      <c r="F39" s="53"/>
      <c r="G39" s="54">
        <f>G30+G32+G34+G36</f>
        <v>80</v>
      </c>
      <c r="H39" s="53"/>
      <c r="I39" s="54">
        <f>I30+I32+I34+I36</f>
        <v>80</v>
      </c>
      <c r="J39" s="53"/>
      <c r="K39" s="54">
        <f>K30+K32+K34+K36</f>
        <v>80</v>
      </c>
      <c r="L39" s="53"/>
      <c r="M39" s="54">
        <f>M30+M32+M34+M36</f>
        <v>80</v>
      </c>
      <c r="N39" s="53"/>
    </row>
    <row r="40" spans="1:14" x14ac:dyDescent="0.3">
      <c r="A40" s="64" t="s">
        <v>14</v>
      </c>
      <c r="B40" s="53"/>
      <c r="C40" s="54">
        <f>C30+C31</f>
        <v>260</v>
      </c>
      <c r="D40" s="53"/>
      <c r="E40" s="54">
        <f>E30+E31</f>
        <v>5</v>
      </c>
      <c r="F40" s="53"/>
      <c r="G40" s="54">
        <f>G30+G31</f>
        <v>0</v>
      </c>
      <c r="H40" s="53"/>
      <c r="I40" s="54">
        <f>I30+I31</f>
        <v>0</v>
      </c>
      <c r="J40" s="53"/>
      <c r="K40" s="54">
        <f>K30+K31</f>
        <v>0</v>
      </c>
      <c r="L40" s="53"/>
      <c r="M40" s="54">
        <f>M30+M31</f>
        <v>280</v>
      </c>
      <c r="N40" s="53"/>
    </row>
    <row r="41" spans="1:14" x14ac:dyDescent="0.3">
      <c r="A41" s="64" t="s">
        <v>15</v>
      </c>
      <c r="B41" s="53"/>
      <c r="C41" s="54">
        <f>C13</f>
        <v>0</v>
      </c>
      <c r="D41" s="53"/>
      <c r="E41" s="54">
        <f>E13</f>
        <v>0</v>
      </c>
      <c r="F41" s="53"/>
      <c r="G41" s="54">
        <f>G13</f>
        <v>0</v>
      </c>
      <c r="H41" s="53"/>
      <c r="I41" s="54">
        <f>I13</f>
        <v>0</v>
      </c>
      <c r="J41" s="53"/>
      <c r="K41" s="54">
        <f>K13</f>
        <v>0</v>
      </c>
      <c r="L41" s="53"/>
      <c r="M41" s="54">
        <f>M13</f>
        <v>0</v>
      </c>
      <c r="N41" s="53"/>
    </row>
    <row r="42" spans="1:14" x14ac:dyDescent="0.3">
      <c r="A42" s="64" t="s">
        <v>99</v>
      </c>
      <c r="B42" s="53"/>
      <c r="C42" s="54">
        <f>IF(C12=0,0,C12-C30-C31)</f>
        <v>180</v>
      </c>
      <c r="D42" s="53"/>
      <c r="E42" s="54">
        <f>IF(E12=0,0,E12-E30-E31)</f>
        <v>0</v>
      </c>
      <c r="F42" s="53"/>
      <c r="G42" s="54">
        <f>IF(G12=0,0,G12-G30-G31)</f>
        <v>0</v>
      </c>
      <c r="H42" s="53"/>
      <c r="I42" s="54">
        <f>IF(I12=0,0,I12-I30-I31)</f>
        <v>0</v>
      </c>
      <c r="J42" s="53"/>
      <c r="K42" s="54">
        <f>IF(K12=0,0,K12-K30-K31)</f>
        <v>0</v>
      </c>
      <c r="L42" s="53"/>
      <c r="M42" s="54">
        <f>IF(M12=0,0,M12-M30-M31)</f>
        <v>200</v>
      </c>
      <c r="N42" s="53"/>
    </row>
    <row r="43" spans="1:14" x14ac:dyDescent="0.3">
      <c r="A43" s="64" t="s">
        <v>100</v>
      </c>
      <c r="B43" s="53"/>
      <c r="C43" s="54">
        <f>C32+C33</f>
        <v>0</v>
      </c>
      <c r="D43" s="53"/>
      <c r="E43" s="54">
        <f>E32+E33</f>
        <v>95</v>
      </c>
      <c r="F43" s="53"/>
      <c r="G43" s="54">
        <f>G32+G33</f>
        <v>100</v>
      </c>
      <c r="H43" s="53"/>
      <c r="I43" s="54">
        <f>I32+I33</f>
        <v>100</v>
      </c>
      <c r="J43" s="53"/>
      <c r="K43" s="54">
        <f>K32+K33</f>
        <v>0</v>
      </c>
      <c r="L43" s="53"/>
      <c r="M43" s="54">
        <f>M32+M33</f>
        <v>20</v>
      </c>
      <c r="N43" s="53"/>
    </row>
    <row r="44" spans="1:14" x14ac:dyDescent="0.3">
      <c r="A44" s="64" t="s">
        <v>101</v>
      </c>
      <c r="B44" s="53"/>
      <c r="C44" s="54">
        <f>C16</f>
        <v>0</v>
      </c>
      <c r="D44" s="53"/>
      <c r="E44" s="54">
        <f>E16</f>
        <v>746.25</v>
      </c>
      <c r="F44" s="53"/>
      <c r="G44" s="54">
        <f>G16</f>
        <v>750</v>
      </c>
      <c r="H44" s="53"/>
      <c r="I44" s="54">
        <f>I16</f>
        <v>615</v>
      </c>
      <c r="J44" s="53"/>
      <c r="K44" s="54">
        <f>K16</f>
        <v>0</v>
      </c>
      <c r="L44" s="53"/>
      <c r="M44" s="54">
        <f>M16</f>
        <v>2962.5</v>
      </c>
      <c r="N44" s="53"/>
    </row>
    <row r="45" spans="1:14" x14ac:dyDescent="0.3">
      <c r="A45" s="64" t="s">
        <v>102</v>
      </c>
      <c r="B45" s="53"/>
      <c r="C45" s="54">
        <f>C14-C43-C44</f>
        <v>0</v>
      </c>
      <c r="D45" s="53"/>
      <c r="E45" s="54">
        <f>E14-E43-E44</f>
        <v>153.75</v>
      </c>
      <c r="F45" s="53"/>
      <c r="G45" s="54">
        <f>G14-G43-G44</f>
        <v>150</v>
      </c>
      <c r="H45" s="53"/>
      <c r="I45" s="54">
        <f>I14-I43-I44</f>
        <v>105</v>
      </c>
      <c r="J45" s="53"/>
      <c r="K45" s="54">
        <f>K14-K43-K44</f>
        <v>0</v>
      </c>
      <c r="L45" s="53"/>
      <c r="M45" s="54">
        <f>M14-M43-M44</f>
        <v>967.5</v>
      </c>
      <c r="N45" s="53"/>
    </row>
    <row r="46" spans="1:14" x14ac:dyDescent="0.3">
      <c r="A46" s="64" t="s">
        <v>103</v>
      </c>
      <c r="B46" s="53"/>
      <c r="C46" s="54">
        <f>C34+C35+C22</f>
        <v>0</v>
      </c>
      <c r="D46" s="53"/>
      <c r="E46" s="54">
        <f>E34+E35+E22</f>
        <v>0</v>
      </c>
      <c r="F46" s="53"/>
      <c r="G46" s="54">
        <f>G34+G35+G22</f>
        <v>0</v>
      </c>
      <c r="H46" s="53"/>
      <c r="I46" s="54">
        <f>I34+I35+I22</f>
        <v>126</v>
      </c>
      <c r="J46" s="53"/>
      <c r="K46" s="54">
        <f>K34+K35+K22</f>
        <v>810</v>
      </c>
      <c r="L46" s="53"/>
      <c r="M46" s="54">
        <f>M34+M35+M22</f>
        <v>399</v>
      </c>
      <c r="N46" s="53"/>
    </row>
    <row r="47" spans="1:14" x14ac:dyDescent="0.3">
      <c r="A47" s="64" t="s">
        <v>104</v>
      </c>
      <c r="B47" s="53"/>
      <c r="C47" s="54">
        <f>C23</f>
        <v>0</v>
      </c>
      <c r="D47" s="53"/>
      <c r="E47" s="54">
        <f>E23</f>
        <v>0</v>
      </c>
      <c r="F47" s="53"/>
      <c r="G47" s="54">
        <f>G23</f>
        <v>0</v>
      </c>
      <c r="H47" s="53"/>
      <c r="I47" s="54">
        <f>I23</f>
        <v>9</v>
      </c>
      <c r="J47" s="53"/>
      <c r="K47" s="54">
        <f>K23</f>
        <v>50</v>
      </c>
      <c r="L47" s="53"/>
      <c r="M47" s="54">
        <f>M23</f>
        <v>28.5</v>
      </c>
      <c r="N47" s="53"/>
    </row>
    <row r="48" spans="1:14" x14ac:dyDescent="0.3">
      <c r="A48" s="64" t="s">
        <v>105</v>
      </c>
      <c r="B48" s="53"/>
      <c r="C48" s="54">
        <f>IF(C9+C40+C43+C46&lt;7050,C19-C46-C47+C24,C19-C46-C47)</f>
        <v>0</v>
      </c>
      <c r="D48" s="53"/>
      <c r="E48" s="54">
        <f>IF(E9+E40+E43+E46&lt;7050,E19-E46-E47+E24,E19-E46-E47)</f>
        <v>0</v>
      </c>
      <c r="F48" s="53"/>
      <c r="G48" s="54">
        <f>IF(G9+G40+G43+G46&lt;7050,G19-G46-G47+G24,G19-G46-G47)</f>
        <v>0</v>
      </c>
      <c r="H48" s="53"/>
      <c r="I48" s="54">
        <f>IF(I9+I40+I43+I46&lt;7050,I19-I46-I47+I24,I19-I46-I47)</f>
        <v>45</v>
      </c>
      <c r="J48" s="53"/>
      <c r="K48" s="54">
        <f>IF(K9+K40+K43+K46&lt;7050,K19-K46-K47+K24,K19-K46-K47)</f>
        <v>140</v>
      </c>
      <c r="L48" s="53"/>
      <c r="M48" s="54">
        <f>IF(M9+M40+M43+M46&lt;7050,M19-M46-M47+M24,M19-M46-M47)</f>
        <v>142.5</v>
      </c>
      <c r="N48" s="53"/>
    </row>
    <row r="49" spans="1:14" x14ac:dyDescent="0.3">
      <c r="A49" s="64" t="s">
        <v>106</v>
      </c>
      <c r="B49" s="53"/>
      <c r="C49" s="54">
        <f>C37</f>
        <v>0</v>
      </c>
      <c r="D49" s="53"/>
      <c r="E49" s="54">
        <f>E37</f>
        <v>0</v>
      </c>
      <c r="F49" s="53"/>
      <c r="G49" s="54">
        <f>G37</f>
        <v>0</v>
      </c>
      <c r="H49" s="53"/>
      <c r="I49" s="54">
        <f>I37</f>
        <v>0</v>
      </c>
      <c r="J49" s="53"/>
      <c r="K49" s="54">
        <f>K37</f>
        <v>0</v>
      </c>
      <c r="L49" s="53"/>
      <c r="M49" s="54">
        <f>M37</f>
        <v>0</v>
      </c>
      <c r="N49" s="53"/>
    </row>
    <row r="50" spans="1:14" x14ac:dyDescent="0.3">
      <c r="A50" s="64" t="s">
        <v>107</v>
      </c>
      <c r="B50" s="53"/>
      <c r="C50" s="54">
        <f>IF(C9+C40+C43+C46&lt;7050,0,C26)</f>
        <v>0</v>
      </c>
      <c r="D50" s="53"/>
      <c r="E50" s="54">
        <f>IF(E9+E40+E43+E46&lt;7050,0,E26)</f>
        <v>0</v>
      </c>
      <c r="F50" s="53"/>
      <c r="G50" s="54">
        <f>IF(G9+G40+G43+G46&lt;7050,0,G26)</f>
        <v>0</v>
      </c>
      <c r="H50" s="53"/>
      <c r="I50" s="54">
        <f>IF(I9+I40+I43+I46&lt;7050,0,I26)</f>
        <v>0</v>
      </c>
      <c r="J50" s="53"/>
      <c r="K50" s="54">
        <f>IF(K9+K40+K43+K46&lt;7050,0,K26)</f>
        <v>0</v>
      </c>
      <c r="L50" s="53"/>
      <c r="M50" s="54">
        <f>IF(M9+M40+M43+M46&lt;7050,0,M26)</f>
        <v>0</v>
      </c>
      <c r="N50" s="53"/>
    </row>
    <row r="51" spans="1:14" x14ac:dyDescent="0.3">
      <c r="A51" s="64" t="s">
        <v>108</v>
      </c>
      <c r="B51" s="53"/>
      <c r="C51" s="54">
        <f>IF(C9+C40+C43+C46&lt;7050,0,C25-C37)</f>
        <v>0</v>
      </c>
      <c r="D51" s="53"/>
      <c r="E51" s="54">
        <f>IF(E9+E40+E43+E46&lt;7050,0,E25-E37)</f>
        <v>0</v>
      </c>
      <c r="F51" s="53"/>
      <c r="G51" s="54">
        <f>IF(G9+G40+G43+G46&lt;7050,0,G25-G37)</f>
        <v>0</v>
      </c>
      <c r="H51" s="53"/>
      <c r="I51" s="54">
        <f>IF(I9+I40+I43+I46&lt;7050,0,I25-I37)</f>
        <v>0</v>
      </c>
      <c r="J51" s="53"/>
      <c r="K51" s="54">
        <f>IF(K9+K40+K43+K46&lt;7050,0,K25-K37)</f>
        <v>0</v>
      </c>
      <c r="L51" s="53"/>
      <c r="M51" s="54">
        <f>IF(M9+M40+M43+M46&lt;7050,0,M25-M37)</f>
        <v>0</v>
      </c>
      <c r="N51" s="53"/>
    </row>
    <row r="52" spans="1:14" x14ac:dyDescent="0.3">
      <c r="A52" s="60" t="s">
        <v>3</v>
      </c>
      <c r="B52" s="53"/>
      <c r="C52" s="61"/>
      <c r="D52" s="53"/>
      <c r="E52" s="61"/>
      <c r="F52" s="53"/>
      <c r="G52" s="61"/>
      <c r="H52" s="53"/>
      <c r="I52" s="61"/>
      <c r="J52" s="53"/>
      <c r="K52" s="61"/>
      <c r="L52" s="53"/>
      <c r="M52" s="61"/>
      <c r="N52" s="53"/>
    </row>
    <row r="53" spans="1:14" x14ac:dyDescent="0.3">
      <c r="A53" s="66" t="s">
        <v>86</v>
      </c>
      <c r="B53" s="53"/>
      <c r="C53" s="57">
        <f>C40+C43+C46+C22</f>
        <v>260</v>
      </c>
      <c r="D53" s="53"/>
      <c r="E53" s="57">
        <f>E40+E43+E46+E22</f>
        <v>100</v>
      </c>
      <c r="F53" s="53"/>
      <c r="G53" s="57">
        <f>G40+G43+G46+G22</f>
        <v>100</v>
      </c>
      <c r="H53" s="53"/>
      <c r="I53" s="57">
        <f>I40+I43+I46+I22</f>
        <v>352</v>
      </c>
      <c r="J53" s="53"/>
      <c r="K53" s="57">
        <f>K40+K43+K46+K22</f>
        <v>1510</v>
      </c>
      <c r="L53" s="53"/>
      <c r="M53" s="57">
        <f>M40+M43+M46+M22</f>
        <v>1098</v>
      </c>
      <c r="N53" s="53"/>
    </row>
    <row r="54" spans="1:14" x14ac:dyDescent="0.3">
      <c r="A54" s="66" t="s">
        <v>2</v>
      </c>
      <c r="B54" s="53"/>
      <c r="C54" s="57">
        <f>C30+C31+C32+C33+C34+C35+C37</f>
        <v>260</v>
      </c>
      <c r="D54" s="53"/>
      <c r="E54" s="57">
        <f>E30+E31+E32+E33+E34+E35+E37</f>
        <v>100</v>
      </c>
      <c r="F54" s="53"/>
      <c r="G54" s="57">
        <f>G30+G31+G32+G33+G34+G35+G37</f>
        <v>100</v>
      </c>
      <c r="H54" s="53"/>
      <c r="I54" s="57">
        <f>I30+I31+I32+I33+I34+I35+I37</f>
        <v>100</v>
      </c>
      <c r="J54" s="53"/>
      <c r="K54" s="57">
        <f>K30+K31+K32+K33+K34+K35+K37</f>
        <v>110</v>
      </c>
      <c r="L54" s="53"/>
      <c r="M54" s="57">
        <f>M30+M31+M32+M33+M34+M35+M37</f>
        <v>300</v>
      </c>
      <c r="N54" s="53"/>
    </row>
    <row r="55" spans="1:14" x14ac:dyDescent="0.3">
      <c r="A55" s="67" t="s">
        <v>11</v>
      </c>
      <c r="B55" s="53"/>
      <c r="C55" s="54">
        <f>C22</f>
        <v>0</v>
      </c>
      <c r="D55" s="53"/>
      <c r="E55" s="54">
        <f>E22</f>
        <v>0</v>
      </c>
      <c r="F55" s="53"/>
      <c r="G55" s="54">
        <f>G22</f>
        <v>0</v>
      </c>
      <c r="H55" s="53"/>
      <c r="I55" s="54">
        <f>I22</f>
        <v>126</v>
      </c>
      <c r="J55" s="53"/>
      <c r="K55" s="54">
        <f>K22</f>
        <v>700</v>
      </c>
      <c r="L55" s="53"/>
      <c r="M55" s="54">
        <f>M22</f>
        <v>399</v>
      </c>
      <c r="N55" s="53"/>
    </row>
    <row r="56" spans="1:14" x14ac:dyDescent="0.3">
      <c r="A56" s="66" t="s">
        <v>5</v>
      </c>
      <c r="B56" s="53"/>
      <c r="C56" s="57">
        <f>SUM(C13,C16,C23,C26)</f>
        <v>0</v>
      </c>
      <c r="D56" s="53"/>
      <c r="E56" s="57">
        <f>SUM(E13,E16,E23,E26)</f>
        <v>746.25</v>
      </c>
      <c r="F56" s="53"/>
      <c r="G56" s="57">
        <f>SUM(G13,G16,G23,G26)</f>
        <v>750</v>
      </c>
      <c r="H56" s="53"/>
      <c r="I56" s="57">
        <f>SUM(I13,I16,I23,I26)</f>
        <v>624</v>
      </c>
      <c r="J56" s="53"/>
      <c r="K56" s="57">
        <f>SUM(K13,K16,K23,K26)</f>
        <v>50</v>
      </c>
      <c r="L56" s="53"/>
      <c r="M56" s="57">
        <f>SUM(M13,M16,M23,M26)</f>
        <v>2991</v>
      </c>
      <c r="N56" s="53"/>
    </row>
    <row r="57" spans="1:14" x14ac:dyDescent="0.3">
      <c r="A57" s="66" t="s">
        <v>7</v>
      </c>
      <c r="B57" s="53"/>
      <c r="C57" s="68">
        <f>C42+C45+C48+C51</f>
        <v>180</v>
      </c>
      <c r="D57" s="53"/>
      <c r="E57" s="68">
        <f>E42+E45+E48+E51</f>
        <v>153.75</v>
      </c>
      <c r="F57" s="53"/>
      <c r="G57" s="68">
        <f>G42+G45+G48+G51</f>
        <v>150</v>
      </c>
      <c r="H57" s="53"/>
      <c r="I57" s="68">
        <f>I42+I45+I48+I51</f>
        <v>150</v>
      </c>
      <c r="J57" s="53"/>
      <c r="K57" s="68">
        <f>K42+K45+K48+K51</f>
        <v>140</v>
      </c>
      <c r="L57" s="53"/>
      <c r="M57" s="68">
        <f>M42+M45+M48+M51</f>
        <v>1310</v>
      </c>
      <c r="N57" s="53"/>
    </row>
    <row r="58" spans="1:14" x14ac:dyDescent="0.3">
      <c r="A58" s="66"/>
      <c r="B58" s="53"/>
      <c r="C58" s="68"/>
      <c r="D58" s="53"/>
      <c r="E58" s="68"/>
      <c r="F58" s="53"/>
      <c r="G58" s="68"/>
      <c r="H58" s="53"/>
      <c r="I58" s="68"/>
      <c r="J58" s="53"/>
      <c r="K58" s="68"/>
      <c r="L58" s="53"/>
      <c r="M58" s="68"/>
      <c r="N58" s="53"/>
    </row>
    <row r="59" spans="1:14" x14ac:dyDescent="0.3">
      <c r="A59" s="69" t="s">
        <v>4</v>
      </c>
      <c r="B59" s="53"/>
      <c r="C59" s="70">
        <f>SUM(C54:C57)</f>
        <v>440</v>
      </c>
      <c r="D59" s="53"/>
      <c r="E59" s="70">
        <f>SUM(E54:E57)</f>
        <v>1000</v>
      </c>
      <c r="F59" s="53"/>
      <c r="G59" s="70">
        <f>SUM(G54:G57)</f>
        <v>1000</v>
      </c>
      <c r="H59" s="53"/>
      <c r="I59" s="70">
        <f>SUM(I54:I57)</f>
        <v>1000</v>
      </c>
      <c r="J59" s="53"/>
      <c r="K59" s="70">
        <f>SUM(K54:K57)</f>
        <v>1000</v>
      </c>
      <c r="L59" s="53"/>
      <c r="M59" s="70">
        <f>SUM(M54:M57)</f>
        <v>5000</v>
      </c>
      <c r="N59" s="53"/>
    </row>
    <row r="60" spans="1:14" x14ac:dyDescent="0.3">
      <c r="A60" s="71"/>
      <c r="B60" s="72"/>
      <c r="C60" s="73"/>
      <c r="D60" s="72"/>
      <c r="E60" s="73"/>
      <c r="F60" s="72"/>
      <c r="G60" s="73"/>
      <c r="H60" s="72"/>
      <c r="I60" s="73"/>
      <c r="J60" s="72"/>
      <c r="K60" s="73"/>
      <c r="L60" s="72"/>
      <c r="M60" s="73"/>
      <c r="N60" s="72"/>
    </row>
    <row r="61" spans="1:14" x14ac:dyDescent="0.3">
      <c r="A61" s="74" t="s">
        <v>37</v>
      </c>
      <c r="B61" s="72"/>
      <c r="C61" s="73"/>
      <c r="D61" s="72"/>
      <c r="E61" s="73"/>
      <c r="F61" s="72"/>
      <c r="G61" s="73"/>
      <c r="H61" s="72"/>
      <c r="I61" s="73"/>
      <c r="J61" s="72"/>
      <c r="K61" s="73"/>
      <c r="L61" s="72"/>
      <c r="M61" s="73"/>
      <c r="N61" s="72"/>
    </row>
    <row r="62" spans="1:14" x14ac:dyDescent="0.3">
      <c r="A62" s="75" t="s">
        <v>39</v>
      </c>
      <c r="B62" s="72"/>
      <c r="C62" s="86">
        <f>SUM(C56)</f>
        <v>0</v>
      </c>
      <c r="D62" s="72"/>
      <c r="E62" s="86">
        <f>SUM(E56)</f>
        <v>746.25</v>
      </c>
      <c r="F62" s="72"/>
      <c r="G62" s="86">
        <f>SUM(G56)</f>
        <v>750</v>
      </c>
      <c r="H62" s="72"/>
      <c r="I62" s="86">
        <f>SUM(I56)</f>
        <v>624</v>
      </c>
      <c r="J62" s="72"/>
      <c r="K62" s="86">
        <f>SUM(K56)</f>
        <v>50</v>
      </c>
      <c r="L62" s="72"/>
      <c r="M62" s="86">
        <f>SUM(M56)</f>
        <v>2991</v>
      </c>
      <c r="N62" s="72"/>
    </row>
    <row r="63" spans="1:14" x14ac:dyDescent="0.3">
      <c r="A63" s="76" t="s">
        <v>40</v>
      </c>
      <c r="B63" s="72"/>
      <c r="C63" s="86">
        <v>0</v>
      </c>
      <c r="D63" s="72"/>
      <c r="E63" s="86">
        <v>0</v>
      </c>
      <c r="F63" s="72"/>
      <c r="G63" s="86">
        <v>0</v>
      </c>
      <c r="H63" s="72"/>
      <c r="I63" s="86">
        <v>0</v>
      </c>
      <c r="J63" s="72"/>
      <c r="K63" s="86">
        <v>0</v>
      </c>
      <c r="L63" s="72"/>
      <c r="M63" s="86">
        <v>0</v>
      </c>
      <c r="N63" s="72"/>
    </row>
    <row r="64" spans="1:14" x14ac:dyDescent="0.3">
      <c r="A64" s="77" t="s">
        <v>41</v>
      </c>
      <c r="B64" s="72"/>
      <c r="C64" s="78"/>
      <c r="D64" s="72"/>
      <c r="E64" s="78"/>
      <c r="F64" s="72"/>
      <c r="G64" s="78"/>
      <c r="H64" s="72"/>
      <c r="I64" s="78"/>
      <c r="J64" s="72"/>
      <c r="K64" s="78"/>
      <c r="L64" s="72"/>
      <c r="M64" s="78"/>
      <c r="N64" s="72"/>
    </row>
    <row r="65" spans="1:14" ht="48" x14ac:dyDescent="0.3">
      <c r="A65" s="79" t="s">
        <v>42</v>
      </c>
      <c r="B65" s="72"/>
      <c r="C65" s="80">
        <f>C54+C55+C57+C62+C63</f>
        <v>440</v>
      </c>
      <c r="D65" s="72"/>
      <c r="E65" s="80">
        <f>E54+E55+E57+E62+E63</f>
        <v>1000</v>
      </c>
      <c r="F65" s="72"/>
      <c r="G65" s="80">
        <f>G54+G55+G57+G62+G63</f>
        <v>1000</v>
      </c>
      <c r="H65" s="72"/>
      <c r="I65" s="80">
        <f>I54+I55+I57+I62+I63</f>
        <v>1000</v>
      </c>
      <c r="J65" s="72"/>
      <c r="K65" s="80">
        <f>K54+K55+K57+K62+K63</f>
        <v>1000</v>
      </c>
      <c r="L65" s="72"/>
      <c r="M65" s="80">
        <f>M54+M55+M57+M62+M63</f>
        <v>5000</v>
      </c>
      <c r="N65" s="72"/>
    </row>
    <row r="66" spans="1:14" x14ac:dyDescent="0.3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59"/>
  <sheetViews>
    <sheetView zoomScale="80" zoomScaleNormal="80" workbookViewId="0">
      <pane xSplit="2" ySplit="9" topLeftCell="C10" activePane="bottomRight" state="frozen"/>
      <selection pane="topRight" activeCell="C1" sqref="C1"/>
      <selection pane="bottomLeft" activeCell="A8" sqref="A8"/>
      <selection pane="bottomRight" activeCell="E28" sqref="E28"/>
    </sheetView>
  </sheetViews>
  <sheetFormatPr defaultColWidth="9.1796875" defaultRowHeight="13" x14ac:dyDescent="0.3"/>
  <cols>
    <col min="1" max="1" width="51" style="4" customWidth="1"/>
    <col min="2" max="2" width="3.26953125" style="4" customWidth="1"/>
    <col min="3" max="3" width="19.7265625" style="18" customWidth="1"/>
    <col min="4" max="4" width="3.26953125" style="4" customWidth="1"/>
    <col min="5" max="5" width="30.453125" style="18" customWidth="1"/>
    <col min="6" max="6" width="18.81640625" style="18" customWidth="1"/>
    <col min="7" max="7" width="3.26953125" style="4" customWidth="1"/>
    <col min="8" max="8" width="25.1796875" style="18" bestFit="1" customWidth="1"/>
    <col min="9" max="9" width="20.1796875" style="18" customWidth="1"/>
    <col min="10" max="10" width="3.26953125" style="4" customWidth="1"/>
    <col min="11" max="11" width="25.1796875" style="18" bestFit="1" customWidth="1"/>
    <col min="12" max="12" width="21.81640625" style="18" customWidth="1"/>
    <col min="13" max="13" width="3.26953125" style="4" customWidth="1"/>
    <col min="14" max="14" width="25.1796875" style="18" bestFit="1" customWidth="1"/>
    <col min="15" max="15" width="21.81640625" style="18" customWidth="1"/>
    <col min="16" max="16" width="3.26953125" style="4" customWidth="1"/>
    <col min="17" max="17" width="21.81640625" style="18" customWidth="1"/>
    <col min="18" max="18" width="3.26953125" style="4" customWidth="1"/>
    <col min="19" max="16384" width="9.1796875" style="4"/>
  </cols>
  <sheetData>
    <row r="1" spans="1:18" ht="161.25" customHeight="1" x14ac:dyDescent="0.3">
      <c r="A1" s="21" t="s">
        <v>81</v>
      </c>
      <c r="B1" s="2"/>
      <c r="C1" s="3" t="s">
        <v>55</v>
      </c>
      <c r="D1" s="2"/>
      <c r="E1" s="20" t="s">
        <v>63</v>
      </c>
      <c r="F1" s="3" t="s">
        <v>74</v>
      </c>
      <c r="G1" s="2"/>
      <c r="H1" s="20" t="s">
        <v>64</v>
      </c>
      <c r="I1" s="3" t="s">
        <v>75</v>
      </c>
      <c r="J1" s="2"/>
      <c r="K1" s="20" t="s">
        <v>64</v>
      </c>
      <c r="L1" s="3" t="s">
        <v>76</v>
      </c>
      <c r="M1" s="2"/>
      <c r="N1" s="20" t="s">
        <v>132</v>
      </c>
      <c r="O1" s="3" t="s">
        <v>77</v>
      </c>
      <c r="P1" s="2"/>
      <c r="Q1" s="3" t="s">
        <v>78</v>
      </c>
      <c r="R1" s="2"/>
    </row>
    <row r="2" spans="1:18" x14ac:dyDescent="0.3">
      <c r="A2" s="82" t="s">
        <v>65</v>
      </c>
      <c r="B2" s="5"/>
      <c r="C2" s="6">
        <v>10</v>
      </c>
      <c r="D2" s="7"/>
      <c r="E2" s="6">
        <v>10</v>
      </c>
      <c r="F2" s="6">
        <v>10</v>
      </c>
      <c r="G2" s="5"/>
      <c r="H2" s="6">
        <v>10</v>
      </c>
      <c r="I2" s="6">
        <v>10</v>
      </c>
      <c r="J2" s="5"/>
      <c r="K2" s="6">
        <v>10</v>
      </c>
      <c r="L2" s="6">
        <v>10</v>
      </c>
      <c r="M2" s="5"/>
      <c r="N2" s="6">
        <v>10</v>
      </c>
      <c r="O2" s="6">
        <v>10</v>
      </c>
      <c r="P2" s="5"/>
      <c r="Q2" s="6">
        <v>10</v>
      </c>
      <c r="R2" s="5"/>
    </row>
    <row r="3" spans="1:18" x14ac:dyDescent="0.3">
      <c r="A3" s="36" t="s">
        <v>29</v>
      </c>
      <c r="B3" s="5"/>
      <c r="C3" s="6">
        <v>20</v>
      </c>
      <c r="D3" s="7"/>
      <c r="E3" s="6">
        <v>20</v>
      </c>
      <c r="F3" s="6">
        <v>20</v>
      </c>
      <c r="G3" s="5"/>
      <c r="H3" s="6">
        <v>20</v>
      </c>
      <c r="I3" s="6">
        <v>20</v>
      </c>
      <c r="J3" s="5"/>
      <c r="K3" s="6">
        <v>20</v>
      </c>
      <c r="L3" s="6">
        <v>20</v>
      </c>
      <c r="M3" s="5"/>
      <c r="N3" s="6">
        <v>20</v>
      </c>
      <c r="O3" s="6">
        <v>20</v>
      </c>
      <c r="P3" s="5"/>
      <c r="Q3" s="6">
        <v>20</v>
      </c>
      <c r="R3" s="5"/>
    </row>
    <row r="4" spans="1:18" x14ac:dyDescent="0.3">
      <c r="A4" s="36" t="s">
        <v>30</v>
      </c>
      <c r="B4" s="5"/>
      <c r="C4" s="6" t="s">
        <v>31</v>
      </c>
      <c r="D4" s="7"/>
      <c r="E4" s="6" t="s">
        <v>31</v>
      </c>
      <c r="F4" s="6" t="s">
        <v>31</v>
      </c>
      <c r="G4" s="5"/>
      <c r="H4" s="6" t="s">
        <v>31</v>
      </c>
      <c r="I4" s="6" t="s">
        <v>31</v>
      </c>
      <c r="J4" s="5"/>
      <c r="K4" s="6" t="s">
        <v>31</v>
      </c>
      <c r="L4" s="6" t="s">
        <v>31</v>
      </c>
      <c r="M4" s="5"/>
      <c r="N4" s="6" t="s">
        <v>31</v>
      </c>
      <c r="O4" s="6" t="s">
        <v>31</v>
      </c>
      <c r="P4" s="5"/>
      <c r="Q4" s="6" t="s">
        <v>31</v>
      </c>
      <c r="R4" s="5"/>
    </row>
    <row r="5" spans="1:18" x14ac:dyDescent="0.3">
      <c r="A5" s="36" t="s">
        <v>27</v>
      </c>
      <c r="B5" s="5"/>
      <c r="C5" s="8"/>
      <c r="D5" s="7"/>
      <c r="E5" s="8"/>
      <c r="F5" s="8"/>
      <c r="G5" s="5"/>
      <c r="H5" s="8"/>
      <c r="I5" s="8"/>
      <c r="J5" s="5"/>
      <c r="K5" s="8"/>
      <c r="L5" s="8"/>
      <c r="M5" s="5"/>
      <c r="N5" s="8"/>
      <c r="O5" s="8"/>
      <c r="P5" s="5"/>
      <c r="Q5" s="8"/>
      <c r="R5" s="5"/>
    </row>
    <row r="6" spans="1:18" x14ac:dyDescent="0.3">
      <c r="A6" s="36" t="s">
        <v>1</v>
      </c>
      <c r="B6" s="5"/>
      <c r="C6" s="6">
        <f>SUM(C7:C7)</f>
        <v>440</v>
      </c>
      <c r="D6" s="7"/>
      <c r="E6" s="6">
        <f>SUM(E7:E7)</f>
        <v>475</v>
      </c>
      <c r="F6" s="6">
        <f>SUM(F7:F7)</f>
        <v>1000</v>
      </c>
      <c r="G6" s="5"/>
      <c r="H6" s="6">
        <f>SUM(H7:H7)</f>
        <v>1000</v>
      </c>
      <c r="I6" s="6">
        <f>SUM(I7:I7)</f>
        <v>1000</v>
      </c>
      <c r="J6" s="5"/>
      <c r="K6" s="6">
        <f>SUM(K7:K7)</f>
        <v>4420</v>
      </c>
      <c r="L6" s="6">
        <f>SUM(L7:L7)</f>
        <v>2690</v>
      </c>
      <c r="M6" s="5"/>
      <c r="N6" s="6">
        <f>SUM(N7:N7)</f>
        <v>5000</v>
      </c>
      <c r="O6" s="9">
        <f>SUM(O7:O7)</f>
        <v>2690</v>
      </c>
      <c r="P6" s="5"/>
      <c r="Q6" s="6">
        <f>SUM(Q7:Q7)</f>
        <v>5690</v>
      </c>
      <c r="R6" s="5"/>
    </row>
    <row r="7" spans="1:18" x14ac:dyDescent="0.3">
      <c r="A7" s="37" t="s">
        <v>0</v>
      </c>
      <c r="B7" s="5"/>
      <c r="C7" s="6">
        <v>440</v>
      </c>
      <c r="D7" s="7"/>
      <c r="E7" s="6">
        <v>475</v>
      </c>
      <c r="F7" s="6">
        <v>1000</v>
      </c>
      <c r="G7" s="5"/>
      <c r="H7" s="6">
        <v>1000</v>
      </c>
      <c r="I7" s="6">
        <v>1000</v>
      </c>
      <c r="J7" s="5"/>
      <c r="K7" s="6">
        <v>4420</v>
      </c>
      <c r="L7" s="6">
        <v>2690</v>
      </c>
      <c r="M7" s="5"/>
      <c r="N7" s="6">
        <v>5000</v>
      </c>
      <c r="O7" s="9">
        <v>2690</v>
      </c>
      <c r="P7" s="5"/>
      <c r="Q7" s="6">
        <v>5690</v>
      </c>
      <c r="R7" s="5"/>
    </row>
    <row r="8" spans="1:18" x14ac:dyDescent="0.3">
      <c r="A8" s="38" t="s">
        <v>19</v>
      </c>
      <c r="B8" s="5"/>
      <c r="C8" s="6">
        <v>0</v>
      </c>
      <c r="D8" s="7"/>
      <c r="E8" s="6">
        <v>0</v>
      </c>
      <c r="F8" s="6">
        <f>E6</f>
        <v>475</v>
      </c>
      <c r="G8" s="5"/>
      <c r="H8" s="6">
        <v>0</v>
      </c>
      <c r="I8" s="6">
        <f>H6</f>
        <v>1000</v>
      </c>
      <c r="J8" s="5"/>
      <c r="K8" s="6">
        <v>0</v>
      </c>
      <c r="L8" s="6">
        <f>K6</f>
        <v>4420</v>
      </c>
      <c r="M8" s="5"/>
      <c r="N8" s="6">
        <v>0</v>
      </c>
      <c r="O8" s="6">
        <f>N6</f>
        <v>5000</v>
      </c>
      <c r="P8" s="5"/>
      <c r="Q8" s="6">
        <v>0</v>
      </c>
      <c r="R8" s="5"/>
    </row>
    <row r="9" spans="1:18" x14ac:dyDescent="0.3">
      <c r="A9" s="38" t="s">
        <v>18</v>
      </c>
      <c r="B9" s="5"/>
      <c r="C9" s="6">
        <v>0</v>
      </c>
      <c r="D9" s="7"/>
      <c r="E9" s="6">
        <v>0</v>
      </c>
      <c r="F9" s="6">
        <f>E46</f>
        <v>10</v>
      </c>
      <c r="G9" s="5"/>
      <c r="H9" s="6">
        <v>0</v>
      </c>
      <c r="I9" s="6">
        <f>H46</f>
        <v>10</v>
      </c>
      <c r="J9" s="5"/>
      <c r="K9" s="6">
        <v>0</v>
      </c>
      <c r="L9" s="6">
        <f>K46</f>
        <v>10</v>
      </c>
      <c r="M9" s="5"/>
      <c r="N9" s="6">
        <v>0</v>
      </c>
      <c r="O9" s="6">
        <f>N46</f>
        <v>409</v>
      </c>
      <c r="P9" s="5"/>
      <c r="Q9" s="6">
        <v>0</v>
      </c>
      <c r="R9" s="5"/>
    </row>
    <row r="10" spans="1:18" x14ac:dyDescent="0.3">
      <c r="A10" s="39" t="s">
        <v>6</v>
      </c>
      <c r="B10" s="5"/>
      <c r="C10" s="10"/>
      <c r="D10" s="5"/>
      <c r="E10" s="10"/>
      <c r="F10" s="10"/>
      <c r="G10" s="5"/>
      <c r="H10" s="10"/>
      <c r="I10" s="10"/>
      <c r="J10" s="5"/>
      <c r="K10" s="10"/>
      <c r="L10" s="10"/>
      <c r="M10" s="5"/>
      <c r="N10" s="10"/>
      <c r="O10" s="10"/>
      <c r="P10" s="5"/>
      <c r="Q10" s="10"/>
      <c r="R10" s="5"/>
    </row>
    <row r="11" spans="1:18" x14ac:dyDescent="0.3">
      <c r="A11" s="40" t="s">
        <v>20</v>
      </c>
      <c r="B11" s="5"/>
      <c r="C11" s="11">
        <f>IF(C8&gt;480,0,MIN(480-C8,C6))</f>
        <v>440</v>
      </c>
      <c r="D11" s="5"/>
      <c r="E11" s="11">
        <f>IF(E8&gt;480,0,MIN(480-E8,E6))</f>
        <v>475</v>
      </c>
      <c r="F11" s="11">
        <f>IF(F8&gt;480,0,MIN(480-F8,F6))</f>
        <v>5</v>
      </c>
      <c r="G11" s="5"/>
      <c r="H11" s="11">
        <f>IF(H8&gt;480,0,MIN(480-H8,H6))</f>
        <v>480</v>
      </c>
      <c r="I11" s="11">
        <f>IF(I8&gt;480,0,MIN(480-I8,I6))</f>
        <v>0</v>
      </c>
      <c r="J11" s="5"/>
      <c r="K11" s="11">
        <f>IF(K8&gt;480,0,MIN(480-K8,K6))</f>
        <v>480</v>
      </c>
      <c r="L11" s="11">
        <f>IF(L8&gt;480,0,MIN(480-L8,L6))</f>
        <v>0</v>
      </c>
      <c r="M11" s="5"/>
      <c r="N11" s="11">
        <f>IF(N8&gt;480,0,MIN(480-N8,N6))</f>
        <v>480</v>
      </c>
      <c r="O11" s="11">
        <f>IF(O8&gt;480,0,MIN(480-O8,O6))</f>
        <v>0</v>
      </c>
      <c r="P11" s="5"/>
      <c r="Q11" s="6">
        <f>IF(Q8&gt;480,0,MIN(480-Q8,Q6))</f>
        <v>480</v>
      </c>
      <c r="R11" s="5"/>
    </row>
    <row r="12" spans="1:18" x14ac:dyDescent="0.3">
      <c r="A12" s="41" t="s">
        <v>69</v>
      </c>
      <c r="B12" s="5"/>
      <c r="C12" s="6">
        <f>C11*100%</f>
        <v>440</v>
      </c>
      <c r="D12" s="5"/>
      <c r="E12" s="6">
        <f>E11*100%</f>
        <v>475</v>
      </c>
      <c r="F12" s="6">
        <f>F11*100%</f>
        <v>5</v>
      </c>
      <c r="G12" s="5"/>
      <c r="H12" s="6">
        <f>H11*100%</f>
        <v>480</v>
      </c>
      <c r="I12" s="6">
        <f>I11*100%</f>
        <v>0</v>
      </c>
      <c r="J12" s="5"/>
      <c r="K12" s="6">
        <f>K11*100%</f>
        <v>480</v>
      </c>
      <c r="L12" s="6">
        <f>L11*100%</f>
        <v>0</v>
      </c>
      <c r="M12" s="5"/>
      <c r="N12" s="6">
        <f>N11*100%</f>
        <v>480</v>
      </c>
      <c r="O12" s="6">
        <f>O11*100%</f>
        <v>0</v>
      </c>
      <c r="P12" s="5"/>
      <c r="Q12" s="6">
        <f>Q11*100%</f>
        <v>480</v>
      </c>
      <c r="R12" s="5"/>
    </row>
    <row r="13" spans="1:18" x14ac:dyDescent="0.3">
      <c r="A13" s="41" t="s">
        <v>15</v>
      </c>
      <c r="B13" s="5"/>
      <c r="C13" s="6">
        <f>C11-C12</f>
        <v>0</v>
      </c>
      <c r="D13" s="5"/>
      <c r="E13" s="6">
        <f>E11-E12</f>
        <v>0</v>
      </c>
      <c r="F13" s="6">
        <f>F11-F12</f>
        <v>0</v>
      </c>
      <c r="G13" s="5"/>
      <c r="H13" s="6">
        <f>H11-H12</f>
        <v>0</v>
      </c>
      <c r="I13" s="6">
        <f>I11-I12</f>
        <v>0</v>
      </c>
      <c r="J13" s="5"/>
      <c r="K13" s="6">
        <f>K11-K12</f>
        <v>0</v>
      </c>
      <c r="L13" s="6">
        <f>L11-L12</f>
        <v>0</v>
      </c>
      <c r="M13" s="5"/>
      <c r="N13" s="6">
        <f>N11-N12</f>
        <v>0</v>
      </c>
      <c r="O13" s="6">
        <f>O11-O12</f>
        <v>0</v>
      </c>
      <c r="P13" s="5"/>
      <c r="Q13" s="6">
        <f>Q11-Q12</f>
        <v>0</v>
      </c>
      <c r="R13" s="5"/>
    </row>
    <row r="14" spans="1:18" x14ac:dyDescent="0.3">
      <c r="A14" s="40" t="s">
        <v>21</v>
      </c>
      <c r="B14" s="5"/>
      <c r="C14" s="11">
        <f>IF(C8&gt;4430,0,MIN(4430-C8-C11,C6-C11))</f>
        <v>0</v>
      </c>
      <c r="D14" s="5"/>
      <c r="E14" s="11">
        <f>IF(E8&gt;4430,0,MIN(4430-E8-E11,E6-E11))</f>
        <v>0</v>
      </c>
      <c r="F14" s="11">
        <f>IF(F8&gt;4430,0,MIN(4430-F8-F11,F6-F11))</f>
        <v>995</v>
      </c>
      <c r="G14" s="5"/>
      <c r="H14" s="11">
        <f>IF(H8&gt;4430,0,MIN(4430-H8-H11,H6-H11))</f>
        <v>520</v>
      </c>
      <c r="I14" s="11">
        <f>IF(I8&gt;4430,0,MIN(4430-I8-I11,I6-I11))</f>
        <v>1000</v>
      </c>
      <c r="J14" s="5"/>
      <c r="K14" s="11">
        <f>IF(K8&gt;4430,0,MIN(4430-K8-K11,K6-K11))</f>
        <v>3940</v>
      </c>
      <c r="L14" s="11">
        <f>IF(L8&gt;4430,0,MIN(4430-L8-L11,L6-L11))</f>
        <v>10</v>
      </c>
      <c r="M14" s="5"/>
      <c r="N14" s="11">
        <f>IF(N8&gt;4430,0,MIN(4430-N8-N11,N6-N11))</f>
        <v>3950</v>
      </c>
      <c r="O14" s="11">
        <f>IF(O8&gt;4430,0,MIN(4430-O8-O11,O6-O11))</f>
        <v>0</v>
      </c>
      <c r="P14" s="5"/>
      <c r="Q14" s="11">
        <f>IF(Q8&gt;4430,0,MIN(4430-Q8-Q11,Q6-Q11))</f>
        <v>3950</v>
      </c>
      <c r="R14" s="5"/>
    </row>
    <row r="15" spans="1:18" x14ac:dyDescent="0.3">
      <c r="A15" s="41" t="s">
        <v>70</v>
      </c>
      <c r="B15" s="5"/>
      <c r="C15" s="6">
        <f>SUM(C14)*25%</f>
        <v>0</v>
      </c>
      <c r="D15" s="5"/>
      <c r="E15" s="6">
        <f>SUM(E14)*25%</f>
        <v>0</v>
      </c>
      <c r="F15" s="6">
        <f>SUM(F14)*25%</f>
        <v>248.75</v>
      </c>
      <c r="G15" s="5"/>
      <c r="H15" s="6">
        <f>SUM(H14)*25%</f>
        <v>130</v>
      </c>
      <c r="I15" s="6">
        <f>SUM(I14)*25%</f>
        <v>250</v>
      </c>
      <c r="J15" s="5"/>
      <c r="K15" s="6">
        <f>SUM(K14)*25%</f>
        <v>985</v>
      </c>
      <c r="L15" s="6">
        <f>SUM(L14)*25%</f>
        <v>2.5</v>
      </c>
      <c r="M15" s="5"/>
      <c r="N15" s="6">
        <f>SUM(N14)*25%</f>
        <v>987.5</v>
      </c>
      <c r="O15" s="6">
        <f>SUM(O14)*25%</f>
        <v>0</v>
      </c>
      <c r="P15" s="5"/>
      <c r="Q15" s="6">
        <f>SUM(Q14)*25%</f>
        <v>987.5</v>
      </c>
      <c r="R15" s="5"/>
    </row>
    <row r="16" spans="1:18" x14ac:dyDescent="0.3">
      <c r="A16" s="41" t="s">
        <v>9</v>
      </c>
      <c r="B16" s="5"/>
      <c r="C16" s="6">
        <f>C14-C15</f>
        <v>0</v>
      </c>
      <c r="D16" s="5"/>
      <c r="E16" s="6">
        <f>E14-E15</f>
        <v>0</v>
      </c>
      <c r="F16" s="6">
        <f>F14-F15</f>
        <v>746.25</v>
      </c>
      <c r="G16" s="5"/>
      <c r="H16" s="6">
        <f>H14-H15</f>
        <v>390</v>
      </c>
      <c r="I16" s="6">
        <f>I14-I15</f>
        <v>750</v>
      </c>
      <c r="J16" s="5"/>
      <c r="K16" s="6">
        <f>K14-K15</f>
        <v>2955</v>
      </c>
      <c r="L16" s="6">
        <f>L14-L15</f>
        <v>7.5</v>
      </c>
      <c r="M16" s="5"/>
      <c r="N16" s="6">
        <f>N14-N15</f>
        <v>2962.5</v>
      </c>
      <c r="O16" s="6">
        <f>O14-O15</f>
        <v>0</v>
      </c>
      <c r="P16" s="5"/>
      <c r="Q16" s="6">
        <f>Q14-Q15</f>
        <v>2962.5</v>
      </c>
      <c r="R16" s="5"/>
    </row>
    <row r="17" spans="1:18" x14ac:dyDescent="0.3">
      <c r="A17" s="40" t="s">
        <v>25</v>
      </c>
      <c r="B17" s="5"/>
      <c r="C17" s="11">
        <f>SUM(C7-C11-C14)</f>
        <v>0</v>
      </c>
      <c r="D17" s="5"/>
      <c r="E17" s="11">
        <f>SUM(E7-E11-E14)</f>
        <v>0</v>
      </c>
      <c r="F17" s="11">
        <f>SUM(F7-F11-F14)</f>
        <v>0</v>
      </c>
      <c r="G17" s="5"/>
      <c r="H17" s="11">
        <f>SUM(H7-H11-H14)</f>
        <v>0</v>
      </c>
      <c r="I17" s="11">
        <f>SUM(I7-I11-I14)</f>
        <v>0</v>
      </c>
      <c r="J17" s="5"/>
      <c r="K17" s="11">
        <f>SUM(K7-K11-K14)</f>
        <v>0</v>
      </c>
      <c r="L17" s="11">
        <f>SUM(L7-L11-L14)</f>
        <v>2680</v>
      </c>
      <c r="M17" s="5"/>
      <c r="N17" s="11">
        <f>SUM(N7-N11-N14)</f>
        <v>570</v>
      </c>
      <c r="O17" s="11">
        <f>SUM(O7-O11-O14)</f>
        <v>2690</v>
      </c>
      <c r="P17" s="5"/>
      <c r="Q17" s="11">
        <f>SUM(Q7-Q11-Q14)</f>
        <v>1260</v>
      </c>
      <c r="R17" s="5"/>
    </row>
    <row r="18" spans="1:18" x14ac:dyDescent="0.3">
      <c r="A18" s="40" t="s">
        <v>43</v>
      </c>
      <c r="B18" s="5"/>
      <c r="C18" s="11">
        <f>7050-C9-C12-C15</f>
        <v>6610</v>
      </c>
      <c r="D18" s="5"/>
      <c r="E18" s="11">
        <f>7050-E9-E12-E15</f>
        <v>6575</v>
      </c>
      <c r="F18" s="11">
        <f>7050-F9-F12-F15</f>
        <v>6786.25</v>
      </c>
      <c r="G18" s="5"/>
      <c r="H18" s="11">
        <f>7050-H9-H12-H15</f>
        <v>6440</v>
      </c>
      <c r="I18" s="11">
        <f>7050-I9-I12-I15</f>
        <v>6790</v>
      </c>
      <c r="J18" s="5"/>
      <c r="K18" s="11">
        <f>7050-K9-K12-K15</f>
        <v>5585</v>
      </c>
      <c r="L18" s="11">
        <f>7050-L9-L12-L15</f>
        <v>7037.5</v>
      </c>
      <c r="M18" s="5"/>
      <c r="N18" s="11">
        <f>7050-N9-N12-N15</f>
        <v>5582.5</v>
      </c>
      <c r="O18" s="11">
        <f>7050-O9-O12-O15</f>
        <v>6641</v>
      </c>
      <c r="P18" s="5"/>
      <c r="Q18" s="11">
        <f>7050-Q9-Q12-Q15</f>
        <v>5582.5</v>
      </c>
      <c r="R18" s="5"/>
    </row>
    <row r="19" spans="1:18" x14ac:dyDescent="0.3">
      <c r="A19" s="40" t="s">
        <v>22</v>
      </c>
      <c r="B19" s="5"/>
      <c r="C19" s="11">
        <f>IF(C17=0,0,MIN(C17,C18/95%))</f>
        <v>0</v>
      </c>
      <c r="D19" s="5"/>
      <c r="E19" s="11">
        <f>IF(E17=0,0,MIN(E17,E18/95%))</f>
        <v>0</v>
      </c>
      <c r="F19" s="11">
        <f>IF(F17=0,0,MIN(F17,F18/95%))</f>
        <v>0</v>
      </c>
      <c r="G19" s="5"/>
      <c r="H19" s="11">
        <f>IF(H17=0,0,MIN(H17,H18/95%))</f>
        <v>0</v>
      </c>
      <c r="I19" s="11">
        <f>IF(I17=0,0,MIN(I17,I18/95%))</f>
        <v>0</v>
      </c>
      <c r="J19" s="5"/>
      <c r="K19" s="11">
        <f>IF(K17=0,0,MIN(K17,K18/95%))</f>
        <v>0</v>
      </c>
      <c r="L19" s="11">
        <f>IF(L17=0,0,MIN(L17,L18/95%))</f>
        <v>2680</v>
      </c>
      <c r="M19" s="5"/>
      <c r="N19" s="11">
        <f>IF(N17=0,0,MIN(N17,N18/95%))</f>
        <v>570</v>
      </c>
      <c r="O19" s="11">
        <f>IF(O17=0,0,MIN(O17,O18/95%))</f>
        <v>2690</v>
      </c>
      <c r="P19" s="5"/>
      <c r="Q19" s="11">
        <f>IF(Q17=0,0,MIN(Q17,Q18/95%))</f>
        <v>1260</v>
      </c>
      <c r="R19" s="5"/>
    </row>
    <row r="20" spans="1:18" x14ac:dyDescent="0.3">
      <c r="A20" s="40" t="s">
        <v>24</v>
      </c>
      <c r="B20" s="5"/>
      <c r="C20" s="11">
        <f>C19</f>
        <v>0</v>
      </c>
      <c r="D20" s="5"/>
      <c r="E20" s="11">
        <f>E19</f>
        <v>0</v>
      </c>
      <c r="F20" s="11">
        <f>F19</f>
        <v>0</v>
      </c>
      <c r="G20" s="5"/>
      <c r="H20" s="11">
        <f>H19</f>
        <v>0</v>
      </c>
      <c r="I20" s="11">
        <f>I19</f>
        <v>0</v>
      </c>
      <c r="J20" s="5"/>
      <c r="K20" s="11">
        <f>K19</f>
        <v>0</v>
      </c>
      <c r="L20" s="11">
        <f>L19</f>
        <v>2680</v>
      </c>
      <c r="M20" s="5"/>
      <c r="N20" s="11">
        <f>N19</f>
        <v>570</v>
      </c>
      <c r="O20" s="11">
        <f>O19</f>
        <v>2690</v>
      </c>
      <c r="P20" s="5"/>
      <c r="Q20" s="11">
        <f>Q19</f>
        <v>1260</v>
      </c>
      <c r="R20" s="5"/>
    </row>
    <row r="21" spans="1:18" x14ac:dyDescent="0.3">
      <c r="A21" s="41" t="s">
        <v>73</v>
      </c>
      <c r="B21" s="5"/>
      <c r="C21" s="6">
        <f>C19*95%-C22</f>
        <v>0</v>
      </c>
      <c r="D21" s="5"/>
      <c r="E21" s="6">
        <f>E19*95%-E22</f>
        <v>0</v>
      </c>
      <c r="F21" s="6">
        <f>F19*95%-F22</f>
        <v>0</v>
      </c>
      <c r="G21" s="5"/>
      <c r="H21" s="6">
        <f>H19*95%-H22</f>
        <v>0</v>
      </c>
      <c r="I21" s="6">
        <f>I19*95%-I22</f>
        <v>0</v>
      </c>
      <c r="J21" s="5"/>
      <c r="K21" s="6">
        <f>K19*95%-K22</f>
        <v>0</v>
      </c>
      <c r="L21" s="6">
        <f>L19*95%-L22</f>
        <v>670</v>
      </c>
      <c r="M21" s="5"/>
      <c r="N21" s="6">
        <f>N19*95%-N22</f>
        <v>142.5</v>
      </c>
      <c r="O21" s="6">
        <f>O19*95%-O22</f>
        <v>672.5</v>
      </c>
      <c r="P21" s="5"/>
      <c r="Q21" s="6">
        <f>Q19*95%-Q22</f>
        <v>315</v>
      </c>
      <c r="R21" s="5"/>
    </row>
    <row r="22" spans="1:18" x14ac:dyDescent="0.3">
      <c r="A22" s="41" t="s">
        <v>71</v>
      </c>
      <c r="B22" s="5"/>
      <c r="C22" s="6">
        <f>C20*70%</f>
        <v>0</v>
      </c>
      <c r="D22" s="5"/>
      <c r="E22" s="6">
        <f>E20*70%</f>
        <v>0</v>
      </c>
      <c r="F22" s="6">
        <f>F20*70%</f>
        <v>0</v>
      </c>
      <c r="G22" s="5"/>
      <c r="H22" s="6">
        <f>H20*70%</f>
        <v>0</v>
      </c>
      <c r="I22" s="6">
        <f>I20*70%</f>
        <v>0</v>
      </c>
      <c r="J22" s="5"/>
      <c r="K22" s="6">
        <f>K20*70%</f>
        <v>0</v>
      </c>
      <c r="L22" s="6">
        <f>L20*70%</f>
        <v>1876</v>
      </c>
      <c r="M22" s="5"/>
      <c r="N22" s="6">
        <f>N20*70%</f>
        <v>399</v>
      </c>
      <c r="O22" s="6">
        <f>O20*70%</f>
        <v>1883</v>
      </c>
      <c r="P22" s="5"/>
      <c r="Q22" s="6">
        <f>Q20*70%</f>
        <v>882</v>
      </c>
      <c r="R22" s="5"/>
    </row>
    <row r="23" spans="1:18" x14ac:dyDescent="0.3">
      <c r="A23" s="41" t="s">
        <v>12</v>
      </c>
      <c r="B23" s="5"/>
      <c r="C23" s="6">
        <f>SUM(C19-C21-C22)</f>
        <v>0</v>
      </c>
      <c r="D23" s="5"/>
      <c r="E23" s="6">
        <f>SUM(E19-E21-E22)</f>
        <v>0</v>
      </c>
      <c r="F23" s="6">
        <f>SUM(F19-F21-F22)</f>
        <v>0</v>
      </c>
      <c r="G23" s="5"/>
      <c r="H23" s="6">
        <f>SUM(H19-H21-H22)</f>
        <v>0</v>
      </c>
      <c r="I23" s="6">
        <f>SUM(I19-I21-I22)</f>
        <v>0</v>
      </c>
      <c r="J23" s="5"/>
      <c r="K23" s="6">
        <f>SUM(K19-K21-K22)</f>
        <v>0</v>
      </c>
      <c r="L23" s="6">
        <f>SUM(L19-L21-L22)</f>
        <v>134</v>
      </c>
      <c r="M23" s="5"/>
      <c r="N23" s="6">
        <f>SUM(N19-N21-N22)</f>
        <v>28.5</v>
      </c>
      <c r="O23" s="6">
        <f>SUM(O19-O21-O22)</f>
        <v>134.5</v>
      </c>
      <c r="P23" s="5"/>
      <c r="Q23" s="6">
        <f>SUM(Q19-Q21-Q22)</f>
        <v>63</v>
      </c>
      <c r="R23" s="5"/>
    </row>
    <row r="24" spans="1:18" x14ac:dyDescent="0.3">
      <c r="A24" s="40" t="s">
        <v>23</v>
      </c>
      <c r="B24" s="5"/>
      <c r="C24" s="11">
        <f>SUM(C6-C11-C14-C19)</f>
        <v>0</v>
      </c>
      <c r="D24" s="5"/>
      <c r="E24" s="11">
        <f>SUM(E6-E11-E14-E19)</f>
        <v>0</v>
      </c>
      <c r="F24" s="11">
        <f>SUM(F6-F11-F14-F19)</f>
        <v>0</v>
      </c>
      <c r="G24" s="5"/>
      <c r="H24" s="11">
        <f>SUM(H6-H11-H14-H19)</f>
        <v>0</v>
      </c>
      <c r="I24" s="11">
        <f>SUM(I6-I11-I14-I19)</f>
        <v>0</v>
      </c>
      <c r="J24" s="5"/>
      <c r="K24" s="11">
        <f>SUM(K6-K11-K14-K19)</f>
        <v>0</v>
      </c>
      <c r="L24" s="11">
        <f>SUM(L6-L11-L14-L19)</f>
        <v>0</v>
      </c>
      <c r="M24" s="5"/>
      <c r="N24" s="11">
        <f>SUM(N6-N11-N14-N19)</f>
        <v>0</v>
      </c>
      <c r="O24" s="11">
        <f>SUM(O6-O11-O14-O19)</f>
        <v>0</v>
      </c>
      <c r="P24" s="5"/>
      <c r="Q24" s="11">
        <f>SUM(Q6-Q11-Q14-Q19)</f>
        <v>0</v>
      </c>
      <c r="R24" s="5"/>
    </row>
    <row r="25" spans="1:18" x14ac:dyDescent="0.3">
      <c r="A25" s="41" t="s">
        <v>72</v>
      </c>
      <c r="B25" s="5"/>
      <c r="C25" s="6">
        <f>IF(C24=0,0,MAX(C24*5%,9.85))</f>
        <v>0</v>
      </c>
      <c r="D25" s="5"/>
      <c r="E25" s="6">
        <f>IF(E24=0,0,MAX(E24*5%,9.85))</f>
        <v>0</v>
      </c>
      <c r="F25" s="6">
        <f>IF(F24=0,0,MAX(F24*5%,9.85))</f>
        <v>0</v>
      </c>
      <c r="G25" s="5"/>
      <c r="H25" s="6">
        <f>IF(H24=0,0,MAX(H24*5%,9.85))</f>
        <v>0</v>
      </c>
      <c r="I25" s="6">
        <f>IF(I24=0,0,MAX(I24*5%,9.85))</f>
        <v>0</v>
      </c>
      <c r="J25" s="5"/>
      <c r="K25" s="6">
        <f>IF(K24=0,0,MAX(K24*5%,9.85))</f>
        <v>0</v>
      </c>
      <c r="L25" s="6">
        <f>IF(L24=0,0,MAX(L24*5%,9.85))</f>
        <v>0</v>
      </c>
      <c r="M25" s="5"/>
      <c r="N25" s="6">
        <f>IF(N24=0,0,MAX(N24*5%,9.85))</f>
        <v>0</v>
      </c>
      <c r="O25" s="6">
        <f>IF(O24=0,0,MAX(O24*5%,9.85))</f>
        <v>0</v>
      </c>
      <c r="P25" s="5"/>
      <c r="Q25" s="6">
        <f>IF(Q24=0,0,MAX(Q24*5%,9.85))</f>
        <v>0</v>
      </c>
      <c r="R25" s="5"/>
    </row>
    <row r="26" spans="1:18" x14ac:dyDescent="0.3">
      <c r="A26" s="41" t="s">
        <v>16</v>
      </c>
      <c r="B26" s="5"/>
      <c r="C26" s="6">
        <f>SUM(C24-C25)</f>
        <v>0</v>
      </c>
      <c r="D26" s="5"/>
      <c r="E26" s="6">
        <f>SUM(E24-E25)</f>
        <v>0</v>
      </c>
      <c r="F26" s="6">
        <f>SUM(F24-F25)</f>
        <v>0</v>
      </c>
      <c r="G26" s="5"/>
      <c r="H26" s="6">
        <f>SUM(H24-H25)</f>
        <v>0</v>
      </c>
      <c r="I26" s="6">
        <f>SUM(I24-I25)</f>
        <v>0</v>
      </c>
      <c r="J26" s="5"/>
      <c r="K26" s="6">
        <f>SUM(K24-K25)</f>
        <v>0</v>
      </c>
      <c r="L26" s="6">
        <f>SUM(L24-L25)</f>
        <v>0</v>
      </c>
      <c r="M26" s="5"/>
      <c r="N26" s="6">
        <f>SUM(N24-N25)</f>
        <v>0</v>
      </c>
      <c r="O26" s="6">
        <f>SUM(O24-O25)</f>
        <v>0</v>
      </c>
      <c r="P26" s="5"/>
      <c r="Q26" s="6">
        <f>SUM(Q24-Q25)</f>
        <v>0</v>
      </c>
      <c r="R26" s="5"/>
    </row>
    <row r="27" spans="1:18" x14ac:dyDescent="0.3">
      <c r="A27" s="40" t="s">
        <v>26</v>
      </c>
      <c r="B27" s="5"/>
      <c r="C27" s="11">
        <v>0</v>
      </c>
      <c r="D27" s="5"/>
      <c r="E27" s="11">
        <v>0</v>
      </c>
      <c r="F27" s="11">
        <v>0</v>
      </c>
      <c r="G27" s="5"/>
      <c r="H27" s="11">
        <v>0</v>
      </c>
      <c r="I27" s="11">
        <v>0</v>
      </c>
      <c r="J27" s="5"/>
      <c r="K27" s="11">
        <v>0</v>
      </c>
      <c r="L27" s="11">
        <v>0</v>
      </c>
      <c r="M27" s="5"/>
      <c r="N27" s="11">
        <v>0</v>
      </c>
      <c r="O27" s="11">
        <v>0</v>
      </c>
      <c r="P27" s="5"/>
      <c r="Q27" s="11">
        <v>0</v>
      </c>
      <c r="R27" s="5"/>
    </row>
    <row r="28" spans="1:18" x14ac:dyDescent="0.3">
      <c r="A28" s="41" t="s">
        <v>46</v>
      </c>
      <c r="B28" s="5"/>
      <c r="C28" s="6">
        <f>MIN(50%*C11,C2)</f>
        <v>10</v>
      </c>
      <c r="D28" s="5"/>
      <c r="E28" s="6">
        <f>MIN(50%*E11,E2)</f>
        <v>10</v>
      </c>
      <c r="F28" s="6">
        <f>MIN(50%*F11,F2)</f>
        <v>2.5</v>
      </c>
      <c r="G28" s="5"/>
      <c r="H28" s="6">
        <f>MIN(50%*H11,H2)</f>
        <v>10</v>
      </c>
      <c r="I28" s="6">
        <f>MIN(50%*I11,I2)</f>
        <v>0</v>
      </c>
      <c r="J28" s="5"/>
      <c r="K28" s="6">
        <f>MIN(50%*K11,K2)</f>
        <v>10</v>
      </c>
      <c r="L28" s="6">
        <f>MIN(50%*L11,L2)</f>
        <v>0</v>
      </c>
      <c r="M28" s="5"/>
      <c r="N28" s="6">
        <f>MIN(50%*N11,N2)</f>
        <v>10</v>
      </c>
      <c r="O28" s="6">
        <f>MIN(50%*O11,O2)</f>
        <v>0</v>
      </c>
      <c r="P28" s="5"/>
      <c r="Q28" s="6">
        <f>MIN(50%*Q11,Q2)</f>
        <v>10</v>
      </c>
      <c r="R28" s="5"/>
    </row>
    <row r="29" spans="1:18" x14ac:dyDescent="0.3">
      <c r="A29" s="41" t="s">
        <v>47</v>
      </c>
      <c r="B29" s="5"/>
      <c r="C29" s="6">
        <v>0</v>
      </c>
      <c r="D29" s="5"/>
      <c r="E29" s="6">
        <v>0</v>
      </c>
      <c r="F29" s="6">
        <f>F2-F28</f>
        <v>7.5</v>
      </c>
      <c r="G29" s="5"/>
      <c r="H29" s="6">
        <v>0</v>
      </c>
      <c r="I29" s="6">
        <f>MIN(I14*25%,F3)</f>
        <v>20</v>
      </c>
      <c r="J29" s="5"/>
      <c r="K29" s="6">
        <v>0</v>
      </c>
      <c r="L29" s="6">
        <f>MIN(L14*25%,I3)</f>
        <v>2.5</v>
      </c>
      <c r="M29" s="5"/>
      <c r="N29" s="6">
        <v>0</v>
      </c>
      <c r="O29" s="6">
        <v>0</v>
      </c>
      <c r="P29" s="5"/>
      <c r="Q29" s="6">
        <v>0</v>
      </c>
      <c r="R29" s="5"/>
    </row>
    <row r="30" spans="1:18" x14ac:dyDescent="0.3">
      <c r="A30" s="41" t="s">
        <v>79</v>
      </c>
      <c r="B30" s="5"/>
      <c r="C30" s="6">
        <v>0</v>
      </c>
      <c r="D30" s="5"/>
      <c r="E30" s="6">
        <v>0</v>
      </c>
      <c r="F30" s="6">
        <v>0</v>
      </c>
      <c r="G30" s="5"/>
      <c r="H30" s="6">
        <v>0</v>
      </c>
      <c r="I30" s="6">
        <v>0</v>
      </c>
      <c r="J30" s="5"/>
      <c r="K30" s="6">
        <v>0</v>
      </c>
      <c r="L30" s="6">
        <f>L3-L29</f>
        <v>17.5</v>
      </c>
      <c r="M30" s="5"/>
      <c r="N30" s="6">
        <v>0</v>
      </c>
      <c r="O30" s="6">
        <f>O19*25%</f>
        <v>672.5</v>
      </c>
      <c r="P30" s="5"/>
      <c r="Q30" s="6">
        <v>0</v>
      </c>
      <c r="R30" s="5"/>
    </row>
    <row r="31" spans="1:18" x14ac:dyDescent="0.3">
      <c r="A31" s="41" t="s">
        <v>28</v>
      </c>
      <c r="B31" s="5"/>
      <c r="C31" s="6">
        <f>MIN(C25,5)</f>
        <v>0</v>
      </c>
      <c r="D31" s="5"/>
      <c r="E31" s="6">
        <f>MIN(E25,5)</f>
        <v>0</v>
      </c>
      <c r="F31" s="6">
        <f>MIN(F25,5)</f>
        <v>0</v>
      </c>
      <c r="G31" s="5"/>
      <c r="H31" s="6">
        <f>MIN(H25,5)</f>
        <v>0</v>
      </c>
      <c r="I31" s="6">
        <f>MIN(I25,5)</f>
        <v>0</v>
      </c>
      <c r="J31" s="5"/>
      <c r="K31" s="6">
        <f>MIN(K25,5)</f>
        <v>0</v>
      </c>
      <c r="L31" s="6">
        <f>MIN(L25,5)</f>
        <v>0</v>
      </c>
      <c r="M31" s="5"/>
      <c r="N31" s="6">
        <f>MIN(N25,5)</f>
        <v>0</v>
      </c>
      <c r="O31" s="6">
        <f>MIN(O25,5)</f>
        <v>0</v>
      </c>
      <c r="P31" s="5"/>
      <c r="Q31" s="6">
        <f>MIN(Q25,5)</f>
        <v>0</v>
      </c>
      <c r="R31" s="5"/>
    </row>
    <row r="32" spans="1:18" x14ac:dyDescent="0.3">
      <c r="A32" s="39" t="s">
        <v>36</v>
      </c>
      <c r="B32" s="5"/>
      <c r="C32" s="10"/>
      <c r="D32" s="5"/>
      <c r="E32" s="10"/>
      <c r="F32" s="10"/>
      <c r="G32" s="5"/>
      <c r="H32" s="10"/>
      <c r="I32" s="10"/>
      <c r="J32" s="5"/>
      <c r="K32" s="10"/>
      <c r="L32" s="10"/>
      <c r="M32" s="5"/>
      <c r="N32" s="10"/>
      <c r="O32" s="10"/>
      <c r="P32" s="5"/>
      <c r="Q32" s="10"/>
      <c r="R32" s="5"/>
    </row>
    <row r="33" spans="1:18" x14ac:dyDescent="0.3">
      <c r="A33" s="41" t="s">
        <v>14</v>
      </c>
      <c r="B33" s="5"/>
      <c r="C33" s="6">
        <f>C28</f>
        <v>10</v>
      </c>
      <c r="D33" s="5"/>
      <c r="E33" s="6">
        <f>E28</f>
        <v>10</v>
      </c>
      <c r="F33" s="6">
        <f>F28</f>
        <v>2.5</v>
      </c>
      <c r="G33" s="5"/>
      <c r="H33" s="6">
        <f>H28</f>
        <v>10</v>
      </c>
      <c r="I33" s="6">
        <f>I28</f>
        <v>0</v>
      </c>
      <c r="J33" s="5"/>
      <c r="K33" s="6">
        <f>K28</f>
        <v>10</v>
      </c>
      <c r="L33" s="6">
        <f>L28</f>
        <v>0</v>
      </c>
      <c r="M33" s="5"/>
      <c r="N33" s="6">
        <f>N28</f>
        <v>10</v>
      </c>
      <c r="O33" s="6">
        <f>O28</f>
        <v>0</v>
      </c>
      <c r="P33" s="5"/>
      <c r="Q33" s="6">
        <f>Q28</f>
        <v>10</v>
      </c>
      <c r="R33" s="5"/>
    </row>
    <row r="34" spans="1:18" x14ac:dyDescent="0.3">
      <c r="A34" s="41" t="s">
        <v>15</v>
      </c>
      <c r="B34" s="5"/>
      <c r="C34" s="6">
        <f>C13</f>
        <v>0</v>
      </c>
      <c r="D34" s="5"/>
      <c r="E34" s="6">
        <f>E13</f>
        <v>0</v>
      </c>
      <c r="F34" s="6">
        <f>F13</f>
        <v>0</v>
      </c>
      <c r="G34" s="5"/>
      <c r="H34" s="6">
        <f>H13</f>
        <v>0</v>
      </c>
      <c r="I34" s="6">
        <f>I13</f>
        <v>0</v>
      </c>
      <c r="J34" s="5"/>
      <c r="K34" s="6">
        <f>K13</f>
        <v>0</v>
      </c>
      <c r="L34" s="6">
        <f>L13</f>
        <v>0</v>
      </c>
      <c r="M34" s="5"/>
      <c r="N34" s="6">
        <f>N13</f>
        <v>0</v>
      </c>
      <c r="O34" s="6">
        <f>O13</f>
        <v>0</v>
      </c>
      <c r="P34" s="5"/>
      <c r="Q34" s="6">
        <f>Q13</f>
        <v>0</v>
      </c>
      <c r="R34" s="5"/>
    </row>
    <row r="35" spans="1:18" x14ac:dyDescent="0.3">
      <c r="A35" s="41" t="s">
        <v>99</v>
      </c>
      <c r="B35" s="5"/>
      <c r="C35" s="6">
        <f>C12-C28</f>
        <v>430</v>
      </c>
      <c r="D35" s="5"/>
      <c r="E35" s="6">
        <f>E12-E28</f>
        <v>465</v>
      </c>
      <c r="F35" s="6">
        <f>F12-F28</f>
        <v>2.5</v>
      </c>
      <c r="G35" s="5"/>
      <c r="H35" s="6">
        <f>H12-H28</f>
        <v>470</v>
      </c>
      <c r="I35" s="6">
        <f>I12-I28</f>
        <v>0</v>
      </c>
      <c r="J35" s="5"/>
      <c r="K35" s="6">
        <f>K12-K28</f>
        <v>470</v>
      </c>
      <c r="L35" s="6">
        <f>L12-L28</f>
        <v>0</v>
      </c>
      <c r="M35" s="5"/>
      <c r="N35" s="6">
        <f>N12-N28</f>
        <v>470</v>
      </c>
      <c r="O35" s="6">
        <f>O12-O28</f>
        <v>0</v>
      </c>
      <c r="P35" s="5"/>
      <c r="Q35" s="6">
        <f>Q12-Q28</f>
        <v>470</v>
      </c>
      <c r="R35" s="5"/>
    </row>
    <row r="36" spans="1:18" x14ac:dyDescent="0.3">
      <c r="A36" s="41" t="s">
        <v>100</v>
      </c>
      <c r="B36" s="5"/>
      <c r="C36" s="6">
        <f>C29</f>
        <v>0</v>
      </c>
      <c r="D36" s="5"/>
      <c r="E36" s="6">
        <f>E29</f>
        <v>0</v>
      </c>
      <c r="F36" s="6">
        <f>F29</f>
        <v>7.5</v>
      </c>
      <c r="G36" s="5"/>
      <c r="H36" s="6">
        <f>H29</f>
        <v>0</v>
      </c>
      <c r="I36" s="6">
        <f>I29</f>
        <v>20</v>
      </c>
      <c r="J36" s="5"/>
      <c r="K36" s="6">
        <f>K29</f>
        <v>0</v>
      </c>
      <c r="L36" s="6">
        <f>L29</f>
        <v>2.5</v>
      </c>
      <c r="M36" s="5"/>
      <c r="N36" s="6">
        <f>N29</f>
        <v>0</v>
      </c>
      <c r="O36" s="6">
        <f>O29</f>
        <v>0</v>
      </c>
      <c r="P36" s="5"/>
      <c r="Q36" s="6">
        <f>Q29</f>
        <v>0</v>
      </c>
      <c r="R36" s="5"/>
    </row>
    <row r="37" spans="1:18" x14ac:dyDescent="0.3">
      <c r="A37" s="41" t="s">
        <v>101</v>
      </c>
      <c r="B37" s="5"/>
      <c r="C37" s="6">
        <f>C16</f>
        <v>0</v>
      </c>
      <c r="D37" s="5"/>
      <c r="E37" s="6">
        <f>E16</f>
        <v>0</v>
      </c>
      <c r="F37" s="6">
        <f>F16</f>
        <v>746.25</v>
      </c>
      <c r="G37" s="5"/>
      <c r="H37" s="6">
        <f>H16</f>
        <v>390</v>
      </c>
      <c r="I37" s="6">
        <f>I16</f>
        <v>750</v>
      </c>
      <c r="J37" s="5"/>
      <c r="K37" s="6">
        <f>K16</f>
        <v>2955</v>
      </c>
      <c r="L37" s="6">
        <f>L16</f>
        <v>7.5</v>
      </c>
      <c r="M37" s="5"/>
      <c r="N37" s="6">
        <f>N16</f>
        <v>2962.5</v>
      </c>
      <c r="O37" s="6">
        <f>O16</f>
        <v>0</v>
      </c>
      <c r="P37" s="5"/>
      <c r="Q37" s="6">
        <f>Q16</f>
        <v>2962.5</v>
      </c>
      <c r="R37" s="5"/>
    </row>
    <row r="38" spans="1:18" x14ac:dyDescent="0.3">
      <c r="A38" s="41" t="s">
        <v>102</v>
      </c>
      <c r="B38" s="5"/>
      <c r="C38" s="6">
        <f>C15-C29</f>
        <v>0</v>
      </c>
      <c r="D38" s="5"/>
      <c r="E38" s="6">
        <f>E15-E29</f>
        <v>0</v>
      </c>
      <c r="F38" s="6">
        <f>F15-F29</f>
        <v>241.25</v>
      </c>
      <c r="G38" s="5"/>
      <c r="H38" s="6">
        <f>H15-H29</f>
        <v>130</v>
      </c>
      <c r="I38" s="6">
        <f>I15-I29</f>
        <v>230</v>
      </c>
      <c r="J38" s="5"/>
      <c r="K38" s="6">
        <f>K15-K29</f>
        <v>985</v>
      </c>
      <c r="L38" s="6">
        <f>L15-L29</f>
        <v>0</v>
      </c>
      <c r="M38" s="5"/>
      <c r="N38" s="6">
        <f>N15-N29</f>
        <v>987.5</v>
      </c>
      <c r="O38" s="6">
        <f>O15-O29</f>
        <v>0</v>
      </c>
      <c r="P38" s="5"/>
      <c r="Q38" s="6">
        <f>Q15-Q29</f>
        <v>987.5</v>
      </c>
      <c r="R38" s="5"/>
    </row>
    <row r="39" spans="1:18" x14ac:dyDescent="0.3">
      <c r="A39" s="41" t="s">
        <v>103</v>
      </c>
      <c r="B39" s="5"/>
      <c r="C39" s="6">
        <f>C22+C30</f>
        <v>0</v>
      </c>
      <c r="D39" s="5"/>
      <c r="E39" s="6">
        <f>E22+E30</f>
        <v>0</v>
      </c>
      <c r="F39" s="6">
        <f>F22+F30</f>
        <v>0</v>
      </c>
      <c r="G39" s="5"/>
      <c r="H39" s="6">
        <f>H22+H30</f>
        <v>0</v>
      </c>
      <c r="I39" s="6">
        <f>I22+I30</f>
        <v>0</v>
      </c>
      <c r="J39" s="5"/>
      <c r="K39" s="6">
        <f>K22+K30</f>
        <v>0</v>
      </c>
      <c r="L39" s="6">
        <f>L22+L30</f>
        <v>1893.5</v>
      </c>
      <c r="M39" s="5"/>
      <c r="N39" s="6">
        <f>N22+N30</f>
        <v>399</v>
      </c>
      <c r="O39" s="6">
        <f>O22+O30</f>
        <v>2555.5</v>
      </c>
      <c r="P39" s="5"/>
      <c r="Q39" s="6">
        <f>Q22+Q30</f>
        <v>882</v>
      </c>
      <c r="R39" s="5"/>
    </row>
    <row r="40" spans="1:18" x14ac:dyDescent="0.3">
      <c r="A40" s="41" t="s">
        <v>104</v>
      </c>
      <c r="B40" s="5"/>
      <c r="C40" s="6">
        <f>C23</f>
        <v>0</v>
      </c>
      <c r="D40" s="5"/>
      <c r="E40" s="6">
        <f>E23</f>
        <v>0</v>
      </c>
      <c r="F40" s="6">
        <f>F23</f>
        <v>0</v>
      </c>
      <c r="G40" s="5"/>
      <c r="H40" s="6">
        <f>H23</f>
        <v>0</v>
      </c>
      <c r="I40" s="6">
        <f>I23</f>
        <v>0</v>
      </c>
      <c r="J40" s="5"/>
      <c r="K40" s="6">
        <f>K23</f>
        <v>0</v>
      </c>
      <c r="L40" s="6">
        <f>L23</f>
        <v>134</v>
      </c>
      <c r="M40" s="5"/>
      <c r="N40" s="6">
        <f>N23</f>
        <v>28.5</v>
      </c>
      <c r="O40" s="6">
        <f>O23</f>
        <v>134.5</v>
      </c>
      <c r="P40" s="5"/>
      <c r="Q40" s="6">
        <f>Q23</f>
        <v>63</v>
      </c>
      <c r="R40" s="5"/>
    </row>
    <row r="41" spans="1:18" x14ac:dyDescent="0.3">
      <c r="A41" s="41" t="s">
        <v>105</v>
      </c>
      <c r="B41" s="5"/>
      <c r="C41" s="6">
        <f>IF(C9+C33+C36+C30+C22&lt;7050,C21-C30+C24,C21-C30)</f>
        <v>0</v>
      </c>
      <c r="D41" s="5"/>
      <c r="E41" s="6">
        <f>IF(E9+E33+E36+E30+E22&lt;7050,E21-E30+E24,E21-E30)</f>
        <v>0</v>
      </c>
      <c r="F41" s="6">
        <f>IF(F9+F33+F36+F30+F22&lt;7050,F21-F30+F24,F21-F30)</f>
        <v>0</v>
      </c>
      <c r="G41" s="5"/>
      <c r="H41" s="6">
        <f>IF(H9+H33+H36+H30+H22&lt;7050,H21-H30+H24,H21-H30)</f>
        <v>0</v>
      </c>
      <c r="I41" s="6">
        <f>IF(I9+I33+I36+I30+I22&lt;7050,I21-I30+I24,I21-I30)</f>
        <v>0</v>
      </c>
      <c r="J41" s="5"/>
      <c r="K41" s="6">
        <f>IF(K9+K33+K36+K30+K22&lt;7050,K21-K30+K24,K21-K30)</f>
        <v>0</v>
      </c>
      <c r="L41" s="6">
        <f>IF(L9+L33+L36+L30+L22&lt;7050,L21-L30+L24,L21-L30)</f>
        <v>652.5</v>
      </c>
      <c r="M41" s="5"/>
      <c r="N41" s="6">
        <f>IF(N9+N33+N36+N30+N22&lt;7050,N21-N30+N24,N21-N30)</f>
        <v>142.5</v>
      </c>
      <c r="O41" s="6">
        <f>IF(O9+O33+O36+O30+O22&lt;7050,O21-O30+O24,O21-O30)</f>
        <v>0</v>
      </c>
      <c r="P41" s="5"/>
      <c r="Q41" s="6">
        <f>IF(Q9+Q33+Q36+Q30+Q22&lt;7050,Q21-Q30+Q24,Q21-Q30)</f>
        <v>315</v>
      </c>
      <c r="R41" s="5"/>
    </row>
    <row r="42" spans="1:18" x14ac:dyDescent="0.3">
      <c r="A42" s="41" t="s">
        <v>106</v>
      </c>
      <c r="B42" s="5"/>
      <c r="C42" s="6">
        <f>IF(C9+C33+C36+C39&lt;7050,0,C31)</f>
        <v>0</v>
      </c>
      <c r="D42" s="5"/>
      <c r="E42" s="6">
        <f>IF(E9+E33+E36+E39&lt;7050,0,E31)</f>
        <v>0</v>
      </c>
      <c r="F42" s="6">
        <f>IF(F9+F33+F36+F39&lt;7050,0,F31)</f>
        <v>0</v>
      </c>
      <c r="G42" s="5"/>
      <c r="H42" s="6">
        <f>IF(H9+H33+H36+H39&lt;7050,0,H31)</f>
        <v>0</v>
      </c>
      <c r="I42" s="6">
        <f>IF(I9+I33+I36+I39&lt;7050,0,I31)</f>
        <v>0</v>
      </c>
      <c r="J42" s="5"/>
      <c r="K42" s="6">
        <f>IF(K9+K33+K36+K39&lt;7050,0,K31)</f>
        <v>0</v>
      </c>
      <c r="L42" s="6">
        <f>IF(L9+L33+L36+L39&lt;7050,0,L31)</f>
        <v>0</v>
      </c>
      <c r="M42" s="5"/>
      <c r="N42" s="6">
        <f>IF(N9+N33+N36+N39&lt;7050,0,N31)</f>
        <v>0</v>
      </c>
      <c r="O42" s="6">
        <f>IF(O9+O33+O36+O39&lt;7050,0,O31)</f>
        <v>0</v>
      </c>
      <c r="P42" s="5"/>
      <c r="Q42" s="6">
        <f>IF(Q9+Q33+Q36+Q39&lt;7050,0,Q31)</f>
        <v>0</v>
      </c>
      <c r="R42" s="5"/>
    </row>
    <row r="43" spans="1:18" x14ac:dyDescent="0.3">
      <c r="A43" s="41" t="s">
        <v>107</v>
      </c>
      <c r="B43" s="5"/>
      <c r="C43" s="6">
        <f>IF(C9+C33+C36+C39&lt;7050,0,C26)</f>
        <v>0</v>
      </c>
      <c r="D43" s="5"/>
      <c r="E43" s="6">
        <f>IF(E9+E33+E36+E39&lt;7050,0,E26)</f>
        <v>0</v>
      </c>
      <c r="F43" s="6">
        <f>IF(F9+F33+F36+F39&lt;7050,0,F26)</f>
        <v>0</v>
      </c>
      <c r="G43" s="5"/>
      <c r="H43" s="6">
        <f>IF(H9+H33+H36+H39&lt;7050,0,H26)</f>
        <v>0</v>
      </c>
      <c r="I43" s="6">
        <f>IF(I9+I33+I36+I39&lt;7050,0,I26)</f>
        <v>0</v>
      </c>
      <c r="J43" s="5"/>
      <c r="K43" s="6">
        <f>IF(K9+K33+K36+K39&lt;7050,0,K26)</f>
        <v>0</v>
      </c>
      <c r="L43" s="6">
        <f>IF(L9+L33+L36+L39&lt;7050,0,L26)</f>
        <v>0</v>
      </c>
      <c r="M43" s="5"/>
      <c r="N43" s="6">
        <f>IF(N9+N33+N36+N39&lt;7050,0,N26)</f>
        <v>0</v>
      </c>
      <c r="O43" s="6">
        <f>IF(O9+O33+O36+O39&lt;7050,0,O26)</f>
        <v>0</v>
      </c>
      <c r="P43" s="5"/>
      <c r="Q43" s="6">
        <f>IF(Q9+Q33+Q36+Q39&lt;7050,0,Q26)</f>
        <v>0</v>
      </c>
      <c r="R43" s="5"/>
    </row>
    <row r="44" spans="1:18" x14ac:dyDescent="0.3">
      <c r="A44" s="41" t="s">
        <v>108</v>
      </c>
      <c r="B44" s="5"/>
      <c r="C44" s="6">
        <f>IF(C9+C33+C36+C39&lt;7050,0,C25-C31)</f>
        <v>0</v>
      </c>
      <c r="D44" s="5"/>
      <c r="E44" s="6">
        <f>IF(E9+E33+E36+E39&lt;7050,0,E25-E31)</f>
        <v>0</v>
      </c>
      <c r="F44" s="6">
        <f>IF(F9+F33+F36+F39&lt;7050,0,F25-F31)</f>
        <v>0</v>
      </c>
      <c r="G44" s="5"/>
      <c r="H44" s="6">
        <f>IF(H9+H33+H36+H39&lt;7050,0,H25-H31)</f>
        <v>0</v>
      </c>
      <c r="I44" s="6">
        <f>IF(I9+I33+I36+I39&lt;7050,0,I25-I31)</f>
        <v>0</v>
      </c>
      <c r="J44" s="5"/>
      <c r="K44" s="6">
        <f>IF(K9+K33+K36+K39&lt;7050,0,K25-K31)</f>
        <v>0</v>
      </c>
      <c r="L44" s="6">
        <f>IF(L9+L33+L36+L39&lt;7050,0,L25-L31)</f>
        <v>0</v>
      </c>
      <c r="M44" s="5"/>
      <c r="N44" s="6">
        <f>IF(N9+N33+N36+N39&lt;7050,0,N25-N31)</f>
        <v>0</v>
      </c>
      <c r="O44" s="6">
        <f>IF(O9+O33+O36+O39&lt;7050,0,O25-O31)</f>
        <v>0</v>
      </c>
      <c r="P44" s="5"/>
      <c r="Q44" s="6">
        <f>IF(Q9+Q33+Q36+Q39&lt;7050,0,Q25-Q31)</f>
        <v>0</v>
      </c>
      <c r="R44" s="5"/>
    </row>
    <row r="45" spans="1:18" x14ac:dyDescent="0.3">
      <c r="A45" s="39" t="s">
        <v>3</v>
      </c>
      <c r="B45" s="5"/>
      <c r="C45" s="10"/>
      <c r="D45" s="5"/>
      <c r="E45" s="10"/>
      <c r="F45" s="10"/>
      <c r="G45" s="5"/>
      <c r="H45" s="10"/>
      <c r="I45" s="10"/>
      <c r="J45" s="5"/>
      <c r="K45" s="10"/>
      <c r="L45" s="10"/>
      <c r="M45" s="5"/>
      <c r="N45" s="10"/>
      <c r="O45" s="10"/>
      <c r="P45" s="5"/>
      <c r="Q45" s="10"/>
      <c r="R45" s="5"/>
    </row>
    <row r="46" spans="1:18" x14ac:dyDescent="0.3">
      <c r="A46" s="43" t="s">
        <v>33</v>
      </c>
      <c r="B46" s="5"/>
      <c r="C46" s="9">
        <f>C33+C36+C39</f>
        <v>10</v>
      </c>
      <c r="D46" s="5"/>
      <c r="E46" s="9">
        <f>E33+E36+E39</f>
        <v>10</v>
      </c>
      <c r="F46" s="9">
        <f>F33+F36+F39</f>
        <v>10</v>
      </c>
      <c r="G46" s="5"/>
      <c r="H46" s="9">
        <f>H33+H36+H39</f>
        <v>10</v>
      </c>
      <c r="I46" s="9">
        <f>I33+I36+I39</f>
        <v>20</v>
      </c>
      <c r="J46" s="5"/>
      <c r="K46" s="9">
        <f>K33+K36+K39</f>
        <v>10</v>
      </c>
      <c r="L46" s="9">
        <f>L33+L36+L39</f>
        <v>1896</v>
      </c>
      <c r="M46" s="5"/>
      <c r="N46" s="9">
        <f>N33+N36+N39</f>
        <v>409</v>
      </c>
      <c r="O46" s="9">
        <f>O33+O36+O39</f>
        <v>2555.5</v>
      </c>
      <c r="P46" s="5"/>
      <c r="Q46" s="9">
        <f>Q33+Q36+Q39</f>
        <v>892</v>
      </c>
      <c r="R46" s="5"/>
    </row>
    <row r="47" spans="1:18" x14ac:dyDescent="0.3">
      <c r="A47" s="43" t="s">
        <v>2</v>
      </c>
      <c r="B47" s="5"/>
      <c r="C47" s="9">
        <f>SUM(C28:C31)</f>
        <v>10</v>
      </c>
      <c r="D47" s="5"/>
      <c r="E47" s="9">
        <f>SUM(E28:E31)</f>
        <v>10</v>
      </c>
      <c r="F47" s="9">
        <f>SUM(F28:F31)</f>
        <v>10</v>
      </c>
      <c r="G47" s="5"/>
      <c r="H47" s="9">
        <f>SUM(H28:H31)</f>
        <v>10</v>
      </c>
      <c r="I47" s="9">
        <f>SUM(I28:I31)</f>
        <v>20</v>
      </c>
      <c r="J47" s="5"/>
      <c r="K47" s="9">
        <f>SUM(K28:K31)</f>
        <v>10</v>
      </c>
      <c r="L47" s="9">
        <f>SUM(L28:L31)</f>
        <v>20</v>
      </c>
      <c r="M47" s="5"/>
      <c r="N47" s="9">
        <f>SUM(N28:N31)</f>
        <v>10</v>
      </c>
      <c r="O47" s="9">
        <f>SUM(O28:O31)</f>
        <v>672.5</v>
      </c>
      <c r="P47" s="5"/>
      <c r="Q47" s="9">
        <f>SUM(Q28:Q31)</f>
        <v>10</v>
      </c>
      <c r="R47" s="5"/>
    </row>
    <row r="48" spans="1:18" x14ac:dyDescent="0.3">
      <c r="A48" s="44" t="s">
        <v>11</v>
      </c>
      <c r="B48" s="5"/>
      <c r="C48" s="6">
        <f>C22</f>
        <v>0</v>
      </c>
      <c r="D48" s="5"/>
      <c r="E48" s="6">
        <f>E22</f>
        <v>0</v>
      </c>
      <c r="F48" s="6">
        <f>F22</f>
        <v>0</v>
      </c>
      <c r="G48" s="5"/>
      <c r="H48" s="6">
        <f>H22</f>
        <v>0</v>
      </c>
      <c r="I48" s="6">
        <f>I22</f>
        <v>0</v>
      </c>
      <c r="J48" s="5"/>
      <c r="K48" s="6">
        <f>K22</f>
        <v>0</v>
      </c>
      <c r="L48" s="6">
        <f>L22</f>
        <v>1876</v>
      </c>
      <c r="M48" s="5"/>
      <c r="N48" s="6">
        <f>N22</f>
        <v>399</v>
      </c>
      <c r="O48" s="6">
        <f>O22</f>
        <v>1883</v>
      </c>
      <c r="P48" s="5"/>
      <c r="Q48" s="6">
        <f>Q22</f>
        <v>882</v>
      </c>
      <c r="R48" s="5"/>
    </row>
    <row r="49" spans="1:18" x14ac:dyDescent="0.3">
      <c r="A49" s="43" t="s">
        <v>5</v>
      </c>
      <c r="B49" s="5"/>
      <c r="C49" s="9">
        <f>C34+C37+C40+C43</f>
        <v>0</v>
      </c>
      <c r="D49" s="5"/>
      <c r="E49" s="9">
        <f>E34+E37+E40+E43</f>
        <v>0</v>
      </c>
      <c r="F49" s="9">
        <f>F34+F37+F40+F43</f>
        <v>746.25</v>
      </c>
      <c r="G49" s="5"/>
      <c r="H49" s="9">
        <f>H34+H37+H40+H43</f>
        <v>390</v>
      </c>
      <c r="I49" s="9">
        <f>I34+I37+I40+I43</f>
        <v>750</v>
      </c>
      <c r="J49" s="5"/>
      <c r="K49" s="9">
        <f>K34+K37+K40+K43</f>
        <v>2955</v>
      </c>
      <c r="L49" s="9">
        <f>L34+L37+L40+L43</f>
        <v>141.5</v>
      </c>
      <c r="M49" s="5"/>
      <c r="N49" s="9">
        <f>N34+N37+N40+N43</f>
        <v>2991</v>
      </c>
      <c r="O49" s="9">
        <f>O34+O37+O40+O43</f>
        <v>134.5</v>
      </c>
      <c r="P49" s="5"/>
      <c r="Q49" s="6">
        <f>Q34+Q37+Q40+Q43</f>
        <v>3025.5</v>
      </c>
      <c r="R49" s="5"/>
    </row>
    <row r="50" spans="1:18" x14ac:dyDescent="0.3">
      <c r="A50" s="43" t="s">
        <v>7</v>
      </c>
      <c r="B50" s="5"/>
      <c r="C50" s="12">
        <f>C35+C38+C41+C44</f>
        <v>430</v>
      </c>
      <c r="D50" s="5"/>
      <c r="E50" s="12">
        <f>E35+E38+E41+E44</f>
        <v>465</v>
      </c>
      <c r="F50" s="34">
        <f>F35+F38+F41+F44</f>
        <v>243.75</v>
      </c>
      <c r="G50" s="5"/>
      <c r="H50" s="12">
        <f>H35+H38+H41+H44</f>
        <v>600</v>
      </c>
      <c r="I50" s="12">
        <f>I35+I38+I41+I44</f>
        <v>230</v>
      </c>
      <c r="J50" s="5"/>
      <c r="K50" s="12">
        <f>K35+K38+K41+K44</f>
        <v>1455</v>
      </c>
      <c r="L50" s="12">
        <f>L35+L38+L41+L44</f>
        <v>652.5</v>
      </c>
      <c r="M50" s="5"/>
      <c r="N50" s="12">
        <f>N35+N38+N41+N44</f>
        <v>1600</v>
      </c>
      <c r="O50" s="12">
        <f>O35+O38+O41+O44</f>
        <v>0</v>
      </c>
      <c r="P50" s="5"/>
      <c r="Q50" s="34">
        <f>Q35+Q38+Q41+Q44</f>
        <v>1772.5</v>
      </c>
      <c r="R50" s="5"/>
    </row>
    <row r="51" spans="1:18" x14ac:dyDescent="0.3">
      <c r="A51" s="43"/>
      <c r="B51" s="5"/>
      <c r="C51" s="12"/>
      <c r="D51" s="5"/>
      <c r="E51" s="12"/>
      <c r="F51" s="34"/>
      <c r="G51" s="5"/>
      <c r="H51" s="12"/>
      <c r="I51" s="12"/>
      <c r="J51" s="5"/>
      <c r="K51" s="12"/>
      <c r="L51" s="12"/>
      <c r="M51" s="5"/>
      <c r="N51" s="12"/>
      <c r="O51" s="12"/>
      <c r="P51" s="5"/>
      <c r="Q51" s="34"/>
      <c r="R51" s="5"/>
    </row>
    <row r="52" spans="1:18" x14ac:dyDescent="0.3">
      <c r="A52" s="45" t="s">
        <v>4</v>
      </c>
      <c r="B52" s="5"/>
      <c r="C52" s="13">
        <f>SUM(C47:C50)</f>
        <v>440</v>
      </c>
      <c r="D52" s="5"/>
      <c r="E52" s="13">
        <f>SUM(E47:E50)</f>
        <v>475</v>
      </c>
      <c r="F52" s="35">
        <f>SUM(F47:F50)</f>
        <v>1000</v>
      </c>
      <c r="G52" s="5"/>
      <c r="H52" s="13">
        <f>SUM(H47:H50)</f>
        <v>1000</v>
      </c>
      <c r="I52" s="13">
        <f>SUM(I47:I50)</f>
        <v>1000</v>
      </c>
      <c r="J52" s="5"/>
      <c r="K52" s="13">
        <f>SUM(K47:K50)</f>
        <v>4420</v>
      </c>
      <c r="L52" s="13">
        <f>SUM(L47:L50)</f>
        <v>2690</v>
      </c>
      <c r="M52" s="5"/>
      <c r="N52" s="13">
        <f>SUM(N47:N50)</f>
        <v>5000</v>
      </c>
      <c r="O52" s="13">
        <f>SUM(O47:O50)</f>
        <v>2690</v>
      </c>
      <c r="P52" s="5"/>
      <c r="Q52" s="13">
        <f>SUM(Q47:Q50)</f>
        <v>5690</v>
      </c>
      <c r="R52" s="5"/>
    </row>
    <row r="53" spans="1:18" x14ac:dyDescent="0.3">
      <c r="A53" s="14"/>
      <c r="B53" s="15"/>
      <c r="C53" s="16"/>
      <c r="D53" s="15"/>
      <c r="E53" s="16"/>
      <c r="F53" s="16"/>
      <c r="G53" s="5"/>
      <c r="H53" s="16"/>
      <c r="I53" s="16"/>
      <c r="J53" s="5"/>
      <c r="K53" s="16"/>
      <c r="L53" s="16"/>
      <c r="M53" s="5"/>
      <c r="N53" s="16"/>
      <c r="O53" s="16"/>
      <c r="P53" s="5"/>
      <c r="Q53" s="16"/>
      <c r="R53" s="5"/>
    </row>
    <row r="54" spans="1:18" x14ac:dyDescent="0.3">
      <c r="A54" s="22" t="s">
        <v>37</v>
      </c>
      <c r="B54" s="15"/>
      <c r="C54" s="16"/>
      <c r="D54" s="15"/>
      <c r="E54" s="16"/>
      <c r="F54" s="16"/>
      <c r="G54" s="5"/>
      <c r="H54" s="16"/>
      <c r="I54" s="16"/>
      <c r="J54" s="5"/>
      <c r="K54" s="16"/>
      <c r="L54" s="16"/>
      <c r="M54" s="5"/>
      <c r="N54" s="16"/>
      <c r="O54" s="16"/>
      <c r="P54" s="5"/>
      <c r="Q54" s="16"/>
      <c r="R54" s="5"/>
    </row>
    <row r="55" spans="1:18" x14ac:dyDescent="0.3">
      <c r="A55" s="23" t="s">
        <v>38</v>
      </c>
      <c r="B55" s="15"/>
      <c r="C55" s="16"/>
      <c r="D55" s="15"/>
      <c r="E55" s="16"/>
      <c r="F55" s="16"/>
      <c r="G55" s="5"/>
      <c r="H55" s="16"/>
      <c r="I55" s="16"/>
      <c r="J55" s="5"/>
      <c r="K55" s="16"/>
      <c r="L55" s="16"/>
      <c r="M55" s="5"/>
      <c r="N55" s="16"/>
      <c r="O55" s="16"/>
      <c r="P55" s="5"/>
      <c r="Q55" s="16"/>
      <c r="R55" s="5"/>
    </row>
    <row r="56" spans="1:18" x14ac:dyDescent="0.3">
      <c r="A56" s="24" t="s">
        <v>39</v>
      </c>
      <c r="B56" s="15"/>
      <c r="C56" s="26">
        <f>SUM(C49)</f>
        <v>0</v>
      </c>
      <c r="D56" s="15"/>
      <c r="E56" s="26">
        <f>SUM(E49)</f>
        <v>0</v>
      </c>
      <c r="F56" s="26">
        <f>SUM(F49)</f>
        <v>746.25</v>
      </c>
      <c r="G56" s="5"/>
      <c r="H56" s="26">
        <f>SUM(H49)</f>
        <v>390</v>
      </c>
      <c r="I56" s="26">
        <f>SUM(I49)</f>
        <v>750</v>
      </c>
      <c r="J56" s="5"/>
      <c r="K56" s="26">
        <f>SUM(K49)</f>
        <v>2955</v>
      </c>
      <c r="L56" s="26">
        <f>SUM(L49)</f>
        <v>141.5</v>
      </c>
      <c r="M56" s="5"/>
      <c r="N56" s="26">
        <f>SUM(N49)</f>
        <v>2991</v>
      </c>
      <c r="O56" s="26">
        <f>SUM(O49)</f>
        <v>134.5</v>
      </c>
      <c r="P56" s="5"/>
      <c r="Q56" s="26">
        <f>SUM(Q49)</f>
        <v>3025.5</v>
      </c>
      <c r="R56" s="5"/>
    </row>
    <row r="57" spans="1:18" x14ac:dyDescent="0.3">
      <c r="A57" s="25" t="s">
        <v>40</v>
      </c>
      <c r="B57" s="15"/>
      <c r="C57" s="26">
        <v>0</v>
      </c>
      <c r="D57" s="15"/>
      <c r="E57" s="26">
        <v>0</v>
      </c>
      <c r="F57" s="26">
        <v>0</v>
      </c>
      <c r="G57" s="5"/>
      <c r="H57" s="26">
        <v>0</v>
      </c>
      <c r="I57" s="26">
        <v>0</v>
      </c>
      <c r="J57" s="5"/>
      <c r="K57" s="26">
        <v>0</v>
      </c>
      <c r="L57" s="26">
        <v>0</v>
      </c>
      <c r="M57" s="5"/>
      <c r="N57" s="26">
        <v>0</v>
      </c>
      <c r="O57" s="26">
        <v>0</v>
      </c>
      <c r="P57" s="5"/>
      <c r="Q57" s="26">
        <v>0</v>
      </c>
      <c r="R57" s="5"/>
    </row>
    <row r="58" spans="1:18" x14ac:dyDescent="0.3">
      <c r="A58" s="46" t="s">
        <v>41</v>
      </c>
      <c r="B58" s="15"/>
      <c r="C58" s="83"/>
      <c r="D58" s="15"/>
      <c r="E58" s="83"/>
      <c r="F58" s="83"/>
      <c r="G58" s="5"/>
      <c r="H58" s="83"/>
      <c r="I58" s="83"/>
      <c r="J58" s="5"/>
      <c r="K58" s="83"/>
      <c r="L58" s="83"/>
      <c r="M58" s="5"/>
      <c r="N58" s="83"/>
      <c r="O58" s="83"/>
      <c r="P58" s="5"/>
      <c r="Q58" s="83"/>
      <c r="R58" s="5"/>
    </row>
    <row r="59" spans="1:18" ht="65" x14ac:dyDescent="0.3">
      <c r="A59" s="47" t="s">
        <v>42</v>
      </c>
      <c r="B59" s="15"/>
      <c r="C59" s="27">
        <f>C47+0+0+C48+C50+C56+C57</f>
        <v>440</v>
      </c>
      <c r="D59" s="15"/>
      <c r="E59" s="27">
        <f>E47+0+0+E48+E50+E56+E57</f>
        <v>475</v>
      </c>
      <c r="F59" s="27">
        <f>F47+0+0+F48+F50+F56+F57</f>
        <v>1000</v>
      </c>
      <c r="G59" s="5"/>
      <c r="H59" s="27">
        <f>H47+0+0+H48+H50+H56+H57</f>
        <v>1000</v>
      </c>
      <c r="I59" s="27">
        <f>I47+0+0+I48+I50+I56+I57</f>
        <v>1000</v>
      </c>
      <c r="J59" s="5"/>
      <c r="K59" s="27">
        <f>K47+0+0+K48+K50+K56+K57</f>
        <v>4420</v>
      </c>
      <c r="L59" s="27">
        <f>L47+0+0+L48+L50+L56+L57</f>
        <v>2690</v>
      </c>
      <c r="M59" s="5"/>
      <c r="N59" s="27">
        <f>N47+0+0+N48+N50+N56+N57</f>
        <v>5000</v>
      </c>
      <c r="O59" s="27">
        <f>O47+0+0+O48+O50+O56+O57</f>
        <v>2690</v>
      </c>
      <c r="P59" s="5"/>
      <c r="Q59" s="27">
        <f>Q47+0+0+Q48+Q50+Q56+Q57</f>
        <v>5690</v>
      </c>
      <c r="R59" s="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65"/>
  <sheetViews>
    <sheetView zoomScale="80" zoomScaleNormal="80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A46" sqref="A46:XFD47"/>
    </sheetView>
  </sheetViews>
  <sheetFormatPr defaultColWidth="9.1796875" defaultRowHeight="13" x14ac:dyDescent="0.3"/>
  <cols>
    <col min="1" max="1" width="51" style="4" customWidth="1"/>
    <col min="2" max="2" width="3.26953125" style="4" customWidth="1"/>
    <col min="3" max="3" width="19.7265625" style="18" customWidth="1"/>
    <col min="4" max="4" width="3.26953125" style="4" customWidth="1"/>
    <col min="5" max="5" width="18.81640625" style="18" customWidth="1"/>
    <col min="6" max="6" width="3.26953125" style="4" customWidth="1"/>
    <col min="7" max="7" width="20.1796875" style="18" customWidth="1"/>
    <col min="8" max="8" width="3.26953125" style="4" customWidth="1"/>
    <col min="9" max="9" width="21.81640625" style="18" customWidth="1"/>
    <col min="10" max="10" width="3.26953125" style="4" customWidth="1"/>
    <col min="11" max="11" width="21.81640625" style="18" customWidth="1"/>
    <col min="12" max="12" width="3.26953125" style="4" customWidth="1"/>
    <col min="13" max="13" width="21.81640625" style="18" customWidth="1"/>
    <col min="14" max="14" width="3.26953125" style="4" customWidth="1"/>
    <col min="15" max="16384" width="9.1796875" style="4"/>
  </cols>
  <sheetData>
    <row r="1" spans="1:14" ht="154.5" customHeight="1" x14ac:dyDescent="0.3">
      <c r="A1" s="21" t="s">
        <v>82</v>
      </c>
      <c r="B1" s="2"/>
      <c r="C1" s="3" t="s">
        <v>55</v>
      </c>
      <c r="D1" s="2"/>
      <c r="E1" s="20" t="s">
        <v>96</v>
      </c>
      <c r="F1" s="2"/>
      <c r="G1" s="20" t="s">
        <v>88</v>
      </c>
      <c r="H1" s="2"/>
      <c r="I1" s="20" t="s">
        <v>89</v>
      </c>
      <c r="J1" s="2"/>
      <c r="K1" s="20" t="s">
        <v>98</v>
      </c>
      <c r="L1" s="2"/>
      <c r="M1" s="3" t="s">
        <v>78</v>
      </c>
      <c r="N1" s="2"/>
    </row>
    <row r="2" spans="1:14" x14ac:dyDescent="0.3">
      <c r="A2" s="36" t="s">
        <v>65</v>
      </c>
      <c r="B2" s="5"/>
      <c r="C2" s="6">
        <v>10</v>
      </c>
      <c r="D2" s="7"/>
      <c r="E2" s="6">
        <v>10</v>
      </c>
      <c r="F2" s="5"/>
      <c r="G2" s="6">
        <v>10</v>
      </c>
      <c r="H2" s="5"/>
      <c r="I2" s="6">
        <v>10</v>
      </c>
      <c r="J2" s="5"/>
      <c r="K2" s="6">
        <v>10</v>
      </c>
      <c r="L2" s="5"/>
      <c r="M2" s="6">
        <v>10</v>
      </c>
      <c r="N2" s="5"/>
    </row>
    <row r="3" spans="1:14" x14ac:dyDescent="0.3">
      <c r="A3" s="36" t="s">
        <v>29</v>
      </c>
      <c r="B3" s="5"/>
      <c r="C3" s="6">
        <v>20</v>
      </c>
      <c r="D3" s="7"/>
      <c r="E3" s="6">
        <v>20</v>
      </c>
      <c r="F3" s="5"/>
      <c r="G3" s="6">
        <v>20</v>
      </c>
      <c r="H3" s="5"/>
      <c r="I3" s="6">
        <v>20</v>
      </c>
      <c r="J3" s="5"/>
      <c r="K3" s="6">
        <v>20</v>
      </c>
      <c r="L3" s="5"/>
      <c r="M3" s="6">
        <v>20</v>
      </c>
      <c r="N3" s="5"/>
    </row>
    <row r="4" spans="1:14" x14ac:dyDescent="0.3">
      <c r="A4" s="36" t="s">
        <v>30</v>
      </c>
      <c r="B4" s="5"/>
      <c r="C4" s="6" t="s">
        <v>31</v>
      </c>
      <c r="D4" s="7"/>
      <c r="E4" s="6" t="s">
        <v>31</v>
      </c>
      <c r="F4" s="5"/>
      <c r="G4" s="6" t="s">
        <v>31</v>
      </c>
      <c r="H4" s="5"/>
      <c r="I4" s="6" t="s">
        <v>31</v>
      </c>
      <c r="J4" s="5"/>
      <c r="K4" s="6" t="s">
        <v>31</v>
      </c>
      <c r="L4" s="5"/>
      <c r="M4" s="6" t="s">
        <v>31</v>
      </c>
      <c r="N4" s="5"/>
    </row>
    <row r="5" spans="1:14" x14ac:dyDescent="0.3">
      <c r="A5" s="36" t="s">
        <v>27</v>
      </c>
      <c r="B5" s="5"/>
      <c r="C5" s="8"/>
      <c r="D5" s="7"/>
      <c r="E5" s="8"/>
      <c r="F5" s="5"/>
      <c r="G5" s="8"/>
      <c r="H5" s="5"/>
      <c r="I5" s="8"/>
      <c r="J5" s="5"/>
      <c r="K5" s="8"/>
      <c r="L5" s="5"/>
      <c r="M5" s="8"/>
      <c r="N5" s="5"/>
    </row>
    <row r="6" spans="1:14" x14ac:dyDescent="0.3">
      <c r="A6" s="36" t="s">
        <v>1</v>
      </c>
      <c r="B6" s="5"/>
      <c r="C6" s="6">
        <f>SUM(C7:C7)</f>
        <v>440</v>
      </c>
      <c r="D6" s="7"/>
      <c r="E6" s="6">
        <f>SUM(E7:E7)</f>
        <v>1000</v>
      </c>
      <c r="F6" s="5"/>
      <c r="G6" s="6">
        <f>SUM(G7:G7)</f>
        <v>1000</v>
      </c>
      <c r="H6" s="5"/>
      <c r="I6" s="6">
        <f>SUM(I7:I7)</f>
        <v>1000</v>
      </c>
      <c r="J6" s="5"/>
      <c r="K6" s="9">
        <f>SUM(K7:K7)</f>
        <v>1000</v>
      </c>
      <c r="L6" s="5"/>
      <c r="M6" s="6">
        <f>SUM(M7:M7)</f>
        <v>5000</v>
      </c>
      <c r="N6" s="5"/>
    </row>
    <row r="7" spans="1:14" x14ac:dyDescent="0.3">
      <c r="A7" s="37" t="s">
        <v>0</v>
      </c>
      <c r="B7" s="5"/>
      <c r="C7" s="6">
        <v>440</v>
      </c>
      <c r="D7" s="7"/>
      <c r="E7" s="6">
        <v>1000</v>
      </c>
      <c r="F7" s="5"/>
      <c r="G7" s="6">
        <v>1000</v>
      </c>
      <c r="H7" s="5"/>
      <c r="I7" s="6">
        <v>1000</v>
      </c>
      <c r="J7" s="5"/>
      <c r="K7" s="9">
        <v>1000</v>
      </c>
      <c r="L7" s="5"/>
      <c r="M7" s="6">
        <v>5000</v>
      </c>
      <c r="N7" s="5"/>
    </row>
    <row r="8" spans="1:14" x14ac:dyDescent="0.3">
      <c r="A8" s="38" t="s">
        <v>19</v>
      </c>
      <c r="B8" s="5"/>
      <c r="C8" s="6">
        <v>0</v>
      </c>
      <c r="D8" s="7"/>
      <c r="E8" s="6">
        <v>475</v>
      </c>
      <c r="F8" s="5"/>
      <c r="G8" s="6">
        <v>480</v>
      </c>
      <c r="H8" s="5"/>
      <c r="I8" s="6">
        <v>3610</v>
      </c>
      <c r="J8" s="5"/>
      <c r="K8" s="9">
        <v>4430</v>
      </c>
      <c r="L8" s="5"/>
      <c r="M8" s="6">
        <v>0</v>
      </c>
      <c r="N8" s="5"/>
    </row>
    <row r="9" spans="1:14" x14ac:dyDescent="0.3">
      <c r="A9" s="38" t="s">
        <v>18</v>
      </c>
      <c r="B9" s="5"/>
      <c r="C9" s="6">
        <v>0</v>
      </c>
      <c r="D9" s="7"/>
      <c r="E9" s="6">
        <v>0</v>
      </c>
      <c r="F9" s="5"/>
      <c r="G9" s="6">
        <v>0</v>
      </c>
      <c r="H9" s="5"/>
      <c r="I9" s="6">
        <v>0</v>
      </c>
      <c r="J9" s="5"/>
      <c r="K9" s="9">
        <v>0</v>
      </c>
      <c r="L9" s="5"/>
      <c r="M9" s="6">
        <v>0</v>
      </c>
      <c r="N9" s="5"/>
    </row>
    <row r="10" spans="1:14" x14ac:dyDescent="0.3">
      <c r="A10" s="39" t="s">
        <v>6</v>
      </c>
      <c r="B10" s="5"/>
      <c r="C10" s="10"/>
      <c r="D10" s="5"/>
      <c r="E10" s="10"/>
      <c r="F10" s="5"/>
      <c r="G10" s="10"/>
      <c r="H10" s="5"/>
      <c r="I10" s="10"/>
      <c r="J10" s="5"/>
      <c r="K10" s="10"/>
      <c r="L10" s="5"/>
      <c r="M10" s="10"/>
      <c r="N10" s="5"/>
    </row>
    <row r="11" spans="1:14" x14ac:dyDescent="0.3">
      <c r="A11" s="40" t="s">
        <v>20</v>
      </c>
      <c r="B11" s="5"/>
      <c r="C11" s="11">
        <v>440</v>
      </c>
      <c r="D11" s="5"/>
      <c r="E11" s="11">
        <v>5</v>
      </c>
      <c r="F11" s="5"/>
      <c r="G11" s="11">
        <v>0</v>
      </c>
      <c r="H11" s="5"/>
      <c r="I11" s="11">
        <v>0</v>
      </c>
      <c r="J11" s="5"/>
      <c r="K11" s="11">
        <v>0</v>
      </c>
      <c r="L11" s="5"/>
      <c r="M11" s="87">
        <v>480</v>
      </c>
      <c r="N11" s="5"/>
    </row>
    <row r="12" spans="1:14" x14ac:dyDescent="0.3">
      <c r="A12" s="41" t="s">
        <v>14</v>
      </c>
      <c r="B12" s="5"/>
      <c r="C12" s="6">
        <f>C11*100%</f>
        <v>440</v>
      </c>
      <c r="D12" s="5"/>
      <c r="E12" s="6">
        <f>E11*100%</f>
        <v>5</v>
      </c>
      <c r="F12" s="5"/>
      <c r="G12" s="6">
        <f>G11*100%</f>
        <v>0</v>
      </c>
      <c r="H12" s="5"/>
      <c r="I12" s="6">
        <f>I11*100%</f>
        <v>0</v>
      </c>
      <c r="J12" s="5"/>
      <c r="K12" s="6">
        <f>K11*100%</f>
        <v>0</v>
      </c>
      <c r="L12" s="5"/>
      <c r="M12" s="6">
        <f>M11*100%</f>
        <v>480</v>
      </c>
      <c r="N12" s="5"/>
    </row>
    <row r="13" spans="1:14" x14ac:dyDescent="0.3">
      <c r="A13" s="41" t="s">
        <v>15</v>
      </c>
      <c r="B13" s="5"/>
      <c r="C13" s="6">
        <f>C11-C12</f>
        <v>0</v>
      </c>
      <c r="D13" s="5"/>
      <c r="E13" s="6">
        <f>E11-E12</f>
        <v>0</v>
      </c>
      <c r="F13" s="5"/>
      <c r="G13" s="6">
        <f>G11-G12</f>
        <v>0</v>
      </c>
      <c r="H13" s="5"/>
      <c r="I13" s="6">
        <f>I11-I12</f>
        <v>0</v>
      </c>
      <c r="J13" s="5"/>
      <c r="K13" s="6">
        <f>K11-K12</f>
        <v>0</v>
      </c>
      <c r="L13" s="5"/>
      <c r="M13" s="6">
        <f>M11-M12</f>
        <v>0</v>
      </c>
      <c r="N13" s="5"/>
    </row>
    <row r="14" spans="1:14" x14ac:dyDescent="0.3">
      <c r="A14" s="40" t="s">
        <v>21</v>
      </c>
      <c r="B14" s="5"/>
      <c r="C14" s="11">
        <v>0</v>
      </c>
      <c r="D14" s="5"/>
      <c r="E14" s="11">
        <f>SUM(E6-E11)</f>
        <v>995</v>
      </c>
      <c r="F14" s="5"/>
      <c r="G14" s="11">
        <f>SUM(G6-G11)</f>
        <v>1000</v>
      </c>
      <c r="H14" s="5"/>
      <c r="I14" s="11">
        <v>820</v>
      </c>
      <c r="J14" s="5"/>
      <c r="K14" s="11">
        <v>0</v>
      </c>
      <c r="L14" s="5"/>
      <c r="M14" s="11">
        <v>3950</v>
      </c>
      <c r="N14" s="5"/>
    </row>
    <row r="15" spans="1:14" x14ac:dyDescent="0.3">
      <c r="A15" s="41" t="s">
        <v>8</v>
      </c>
      <c r="B15" s="5"/>
      <c r="C15" s="6">
        <f>SUM(C14)*25%</f>
        <v>0</v>
      </c>
      <c r="D15" s="5"/>
      <c r="E15" s="6">
        <f>SUM(E14)*25%</f>
        <v>248.75</v>
      </c>
      <c r="F15" s="5"/>
      <c r="G15" s="6">
        <f>SUM(G14)*25%</f>
        <v>250</v>
      </c>
      <c r="H15" s="5"/>
      <c r="I15" s="6">
        <f>SUM(I14)*25%</f>
        <v>205</v>
      </c>
      <c r="J15" s="5"/>
      <c r="K15" s="6">
        <f>SUM(K14)*25%</f>
        <v>0</v>
      </c>
      <c r="L15" s="5"/>
      <c r="M15" s="6">
        <f>SUM(M14)*25%</f>
        <v>987.5</v>
      </c>
      <c r="N15" s="5"/>
    </row>
    <row r="16" spans="1:14" x14ac:dyDescent="0.3">
      <c r="A16" s="41" t="s">
        <v>9</v>
      </c>
      <c r="B16" s="5"/>
      <c r="C16" s="6">
        <f>C14-C15</f>
        <v>0</v>
      </c>
      <c r="D16" s="5"/>
      <c r="E16" s="6">
        <f>E14-E15</f>
        <v>746.25</v>
      </c>
      <c r="F16" s="5"/>
      <c r="G16" s="6">
        <f>G14-G15</f>
        <v>750</v>
      </c>
      <c r="H16" s="5"/>
      <c r="I16" s="6">
        <f>I14-I15</f>
        <v>615</v>
      </c>
      <c r="J16" s="5"/>
      <c r="K16" s="6">
        <f>K14-K15</f>
        <v>0</v>
      </c>
      <c r="L16" s="5"/>
      <c r="M16" s="6">
        <f>M14-M15</f>
        <v>2962.5</v>
      </c>
      <c r="N16" s="5"/>
    </row>
    <row r="17" spans="1:14" x14ac:dyDescent="0.3">
      <c r="A17" s="40" t="s">
        <v>25</v>
      </c>
      <c r="B17" s="5"/>
      <c r="C17" s="11">
        <f>SUM(C7-C11-C14)</f>
        <v>0</v>
      </c>
      <c r="D17" s="5"/>
      <c r="E17" s="11">
        <f>SUM(E7-E11-E14)</f>
        <v>0</v>
      </c>
      <c r="F17" s="5"/>
      <c r="G17" s="11">
        <f>SUM(G7-G11-G14)</f>
        <v>0</v>
      </c>
      <c r="H17" s="5"/>
      <c r="I17" s="11">
        <f>SUM(I7-I11-I14)</f>
        <v>180</v>
      </c>
      <c r="J17" s="5"/>
      <c r="K17" s="11">
        <f>SUM(K7-K11-K14)</f>
        <v>1000</v>
      </c>
      <c r="L17" s="5"/>
      <c r="M17" s="87">
        <f>SUM(M6-M11-M14)</f>
        <v>570</v>
      </c>
      <c r="N17" s="5"/>
    </row>
    <row r="18" spans="1:14" x14ac:dyDescent="0.3">
      <c r="A18" s="40" t="s">
        <v>95</v>
      </c>
      <c r="B18" s="5"/>
      <c r="C18" s="11"/>
      <c r="D18" s="5"/>
      <c r="E18" s="11"/>
      <c r="F18" s="5"/>
      <c r="G18" s="11"/>
      <c r="H18" s="5"/>
      <c r="I18" s="11"/>
      <c r="J18" s="5"/>
      <c r="K18" s="11">
        <v>0</v>
      </c>
      <c r="L18" s="5"/>
      <c r="M18" s="87">
        <f>7050-C9-C12-C15</f>
        <v>6610</v>
      </c>
      <c r="N18" s="5"/>
    </row>
    <row r="19" spans="1:14" x14ac:dyDescent="0.3">
      <c r="A19" s="40" t="s">
        <v>22</v>
      </c>
      <c r="B19" s="5"/>
      <c r="C19" s="11">
        <v>0</v>
      </c>
      <c r="D19" s="5"/>
      <c r="E19" s="11">
        <v>0</v>
      </c>
      <c r="F19" s="5"/>
      <c r="G19" s="11">
        <v>0</v>
      </c>
      <c r="H19" s="5"/>
      <c r="I19" s="11">
        <v>180</v>
      </c>
      <c r="J19" s="5"/>
      <c r="K19" s="11">
        <v>1000</v>
      </c>
      <c r="L19" s="5"/>
      <c r="M19" s="87">
        <v>570</v>
      </c>
      <c r="N19" s="5"/>
    </row>
    <row r="20" spans="1:14" x14ac:dyDescent="0.3">
      <c r="A20" s="40" t="s">
        <v>24</v>
      </c>
      <c r="B20" s="5"/>
      <c r="C20" s="11">
        <v>0</v>
      </c>
      <c r="D20" s="5"/>
      <c r="E20" s="11">
        <v>0</v>
      </c>
      <c r="F20" s="5"/>
      <c r="G20" s="11">
        <v>0</v>
      </c>
      <c r="H20" s="5"/>
      <c r="I20" s="11">
        <v>180</v>
      </c>
      <c r="J20" s="5"/>
      <c r="K20" s="11">
        <v>1000</v>
      </c>
      <c r="L20" s="5"/>
      <c r="M20" s="87">
        <v>570</v>
      </c>
      <c r="N20" s="5"/>
    </row>
    <row r="21" spans="1:14" x14ac:dyDescent="0.3">
      <c r="A21" s="41" t="s">
        <v>10</v>
      </c>
      <c r="B21" s="5"/>
      <c r="C21" s="6">
        <f>C19*95%-C22</f>
        <v>0</v>
      </c>
      <c r="D21" s="5"/>
      <c r="E21" s="6">
        <f>E19*95%-E22</f>
        <v>0</v>
      </c>
      <c r="F21" s="5"/>
      <c r="G21" s="6">
        <f>G19*95%-G22</f>
        <v>0</v>
      </c>
      <c r="H21" s="5"/>
      <c r="I21" s="6">
        <f>(I19*95%-I22)</f>
        <v>45</v>
      </c>
      <c r="J21" s="5"/>
      <c r="K21" s="6">
        <f>(K19*95%-K22)</f>
        <v>250</v>
      </c>
      <c r="L21" s="5"/>
      <c r="M21" s="6">
        <f>(M19*95%-M22)</f>
        <v>142.5</v>
      </c>
      <c r="N21" s="5"/>
    </row>
    <row r="22" spans="1:14" x14ac:dyDescent="0.3">
      <c r="A22" s="41" t="s">
        <v>17</v>
      </c>
      <c r="B22" s="5"/>
      <c r="C22" s="6">
        <f>C20*70%</f>
        <v>0</v>
      </c>
      <c r="D22" s="5"/>
      <c r="E22" s="6">
        <f>E20*70%</f>
        <v>0</v>
      </c>
      <c r="F22" s="5"/>
      <c r="G22" s="6">
        <f>G20*70%</f>
        <v>0</v>
      </c>
      <c r="H22" s="5"/>
      <c r="I22" s="6">
        <f>I20*70%</f>
        <v>126</v>
      </c>
      <c r="J22" s="5"/>
      <c r="K22" s="6">
        <f>K20*70%</f>
        <v>700</v>
      </c>
      <c r="L22" s="5"/>
      <c r="M22" s="6">
        <f>M20*70%</f>
        <v>399</v>
      </c>
      <c r="N22" s="5"/>
    </row>
    <row r="23" spans="1:14" x14ac:dyDescent="0.3">
      <c r="A23" s="41" t="s">
        <v>12</v>
      </c>
      <c r="B23" s="5"/>
      <c r="C23" s="6">
        <f>SUM(C19-C21-C22)</f>
        <v>0</v>
      </c>
      <c r="D23" s="5"/>
      <c r="E23" s="6">
        <f>SUM(E19-E21-E22)</f>
        <v>0</v>
      </c>
      <c r="F23" s="5"/>
      <c r="G23" s="6">
        <f>SUM(G19-G21-G22)</f>
        <v>0</v>
      </c>
      <c r="H23" s="5"/>
      <c r="I23" s="6">
        <f>SUM(I19-I21-I22)</f>
        <v>9</v>
      </c>
      <c r="J23" s="5"/>
      <c r="K23" s="6">
        <f>SUM(K19-K21-K22)</f>
        <v>50</v>
      </c>
      <c r="L23" s="5"/>
      <c r="M23" s="6">
        <f>SUM(M19-M21-M22)</f>
        <v>28.5</v>
      </c>
      <c r="N23" s="5"/>
    </row>
    <row r="24" spans="1:14" x14ac:dyDescent="0.3">
      <c r="A24" s="40" t="s">
        <v>23</v>
      </c>
      <c r="B24" s="5"/>
      <c r="C24" s="11">
        <f>SUM(C6-C11-C14-C19)</f>
        <v>0</v>
      </c>
      <c r="D24" s="5"/>
      <c r="E24" s="11">
        <f>SUM(E6-E11-E14-E19)</f>
        <v>0</v>
      </c>
      <c r="F24" s="5"/>
      <c r="G24" s="11">
        <f>SUM(G6-G11-G14-G19)</f>
        <v>0</v>
      </c>
      <c r="H24" s="5"/>
      <c r="I24" s="11">
        <f>SUM(I6-I11-I14-I19)</f>
        <v>0</v>
      </c>
      <c r="J24" s="5"/>
      <c r="K24" s="11">
        <f>SUM(K6-K11-K14-K19)</f>
        <v>0</v>
      </c>
      <c r="L24" s="5"/>
      <c r="M24" s="11">
        <v>0</v>
      </c>
      <c r="N24" s="5"/>
    </row>
    <row r="25" spans="1:14" x14ac:dyDescent="0.3">
      <c r="A25" s="41" t="s">
        <v>13</v>
      </c>
      <c r="B25" s="5"/>
      <c r="C25" s="6">
        <f>SUM(C24*5%)</f>
        <v>0</v>
      </c>
      <c r="D25" s="5"/>
      <c r="E25" s="6">
        <f>SUM(E24*5%)</f>
        <v>0</v>
      </c>
      <c r="F25" s="5"/>
      <c r="G25" s="6">
        <f>SUM(G24*5%)</f>
        <v>0</v>
      </c>
      <c r="H25" s="5"/>
      <c r="I25" s="6">
        <f>SUM(I24*5%)</f>
        <v>0</v>
      </c>
      <c r="J25" s="5"/>
      <c r="K25" s="6">
        <f>SUM(K24*5%)</f>
        <v>0</v>
      </c>
      <c r="L25" s="5"/>
      <c r="M25" s="6">
        <f>SUM(M24*5%)</f>
        <v>0</v>
      </c>
      <c r="N25" s="5"/>
    </row>
    <row r="26" spans="1:14" x14ac:dyDescent="0.3">
      <c r="A26" s="41" t="s">
        <v>16</v>
      </c>
      <c r="B26" s="5"/>
      <c r="C26" s="6">
        <f>SUM(C24-C25)</f>
        <v>0</v>
      </c>
      <c r="D26" s="5"/>
      <c r="E26" s="6">
        <f>SUM(E24-E25)</f>
        <v>0</v>
      </c>
      <c r="F26" s="5"/>
      <c r="G26" s="6">
        <f>SUM(G24-G25)</f>
        <v>0</v>
      </c>
      <c r="H26" s="5"/>
      <c r="I26" s="6">
        <f>SUM(I24-I25)</f>
        <v>0</v>
      </c>
      <c r="J26" s="5"/>
      <c r="K26" s="6">
        <f>SUM(K24-K25)</f>
        <v>0</v>
      </c>
      <c r="L26" s="5"/>
      <c r="M26" s="6">
        <f>SUM(M24-M25)</f>
        <v>0</v>
      </c>
      <c r="N26" s="5"/>
    </row>
    <row r="27" spans="1:14" x14ac:dyDescent="0.3">
      <c r="A27" s="40" t="s">
        <v>26</v>
      </c>
      <c r="B27" s="5"/>
      <c r="C27" s="11">
        <v>0</v>
      </c>
      <c r="D27" s="5"/>
      <c r="E27" s="11">
        <v>0</v>
      </c>
      <c r="F27" s="5"/>
      <c r="G27" s="11">
        <v>0</v>
      </c>
      <c r="H27" s="5"/>
      <c r="I27" s="11">
        <v>0</v>
      </c>
      <c r="J27" s="5"/>
      <c r="K27" s="11">
        <v>0</v>
      </c>
      <c r="L27" s="5"/>
      <c r="M27" s="11">
        <v>0</v>
      </c>
      <c r="N27" s="5"/>
    </row>
    <row r="28" spans="1:14" x14ac:dyDescent="0.3">
      <c r="A28" s="81" t="s">
        <v>52</v>
      </c>
      <c r="B28" s="5"/>
      <c r="C28" s="6">
        <v>80</v>
      </c>
      <c r="D28" s="5"/>
      <c r="E28" s="6">
        <v>80</v>
      </c>
      <c r="F28" s="5"/>
      <c r="G28" s="6">
        <v>80</v>
      </c>
      <c r="H28" s="5"/>
      <c r="I28" s="6">
        <v>80</v>
      </c>
      <c r="J28" s="5"/>
      <c r="K28" s="6">
        <v>80</v>
      </c>
      <c r="L28" s="5"/>
      <c r="M28" s="6">
        <v>80</v>
      </c>
      <c r="N28" s="5"/>
    </row>
    <row r="29" spans="1:14" x14ac:dyDescent="0.3">
      <c r="A29" s="41" t="s">
        <v>48</v>
      </c>
      <c r="B29" s="5"/>
      <c r="C29" s="6">
        <v>80</v>
      </c>
      <c r="D29" s="5"/>
      <c r="E29" s="6">
        <v>80</v>
      </c>
      <c r="F29" s="5"/>
      <c r="G29" s="6">
        <v>80</v>
      </c>
      <c r="H29" s="5"/>
      <c r="I29" s="6">
        <v>80</v>
      </c>
      <c r="J29" s="5"/>
      <c r="K29" s="6">
        <v>80</v>
      </c>
      <c r="L29" s="5"/>
      <c r="M29" s="6">
        <v>80</v>
      </c>
      <c r="N29" s="5"/>
    </row>
    <row r="30" spans="1:14" x14ac:dyDescent="0.3">
      <c r="A30" s="81" t="s">
        <v>49</v>
      </c>
      <c r="B30" s="5"/>
      <c r="C30" s="6">
        <f>IF(C11=0,0,MIN(80,C11))</f>
        <v>80</v>
      </c>
      <c r="D30" s="5"/>
      <c r="E30" s="6">
        <f>IF(E11=0,0,MIN(80,E11))</f>
        <v>5</v>
      </c>
      <c r="F30" s="5"/>
      <c r="G30" s="6">
        <f>IF(G11=0,0,MIN(80,G11))</f>
        <v>0</v>
      </c>
      <c r="H30" s="5"/>
      <c r="I30" s="6">
        <f>IF(I11=0,0,MIN(80,I11))</f>
        <v>0</v>
      </c>
      <c r="J30" s="5"/>
      <c r="K30" s="6">
        <f>IF(K11=0,0,MIN(80,K11))</f>
        <v>0</v>
      </c>
      <c r="L30" s="5"/>
      <c r="M30" s="6">
        <f>IF(M11=0,0,MIN(80,M11))</f>
        <v>80</v>
      </c>
      <c r="N30" s="5"/>
    </row>
    <row r="31" spans="1:14" x14ac:dyDescent="0.3">
      <c r="A31" s="41" t="s">
        <v>46</v>
      </c>
      <c r="B31" s="5"/>
      <c r="C31" s="6">
        <f>MIN(50%*(C11-C30),C2,C11)</f>
        <v>10</v>
      </c>
      <c r="D31" s="5"/>
      <c r="E31" s="6">
        <f>MIN(50%*(E11-E30),E2,E11)</f>
        <v>0</v>
      </c>
      <c r="F31" s="5"/>
      <c r="G31" s="6">
        <f>MIN(50%*(G11-G30),G2,G11)</f>
        <v>0</v>
      </c>
      <c r="H31" s="5"/>
      <c r="I31" s="6">
        <f>MIN(50%*(I11-I30),I2,I11)</f>
        <v>0</v>
      </c>
      <c r="J31" s="5"/>
      <c r="K31" s="6">
        <f>MIN(50%*(K11-K30),K2,K11)</f>
        <v>0</v>
      </c>
      <c r="L31" s="5"/>
      <c r="M31" s="6">
        <f>MIN(50%*(M11-M30),M2,M11)</f>
        <v>10</v>
      </c>
      <c r="N31" s="5"/>
    </row>
    <row r="32" spans="1:14" x14ac:dyDescent="0.3">
      <c r="A32" s="81" t="s">
        <v>50</v>
      </c>
      <c r="B32" s="5"/>
      <c r="C32" s="6">
        <f>IF(C14=0,0,MIN(C29-C30,C14))</f>
        <v>0</v>
      </c>
      <c r="D32" s="5"/>
      <c r="E32" s="6">
        <f>IF(E14=0,0,MIN(E29-E30,E14))</f>
        <v>75</v>
      </c>
      <c r="F32" s="5"/>
      <c r="G32" s="6">
        <f>IF(G14=0,0,MIN(G29-G30,G14))</f>
        <v>80</v>
      </c>
      <c r="H32" s="5"/>
      <c r="I32" s="6">
        <f>IF(I14=0,0,MIN(I29-I30,I14))</f>
        <v>80</v>
      </c>
      <c r="J32" s="5"/>
      <c r="K32" s="6">
        <f>IF(K14=0,0,MIN(K29-K30,K14))</f>
        <v>0</v>
      </c>
      <c r="L32" s="5"/>
      <c r="M32" s="6">
        <f>IF(M14=0,0,MIN(M29-M30,M14))</f>
        <v>0</v>
      </c>
      <c r="N32" s="5"/>
    </row>
    <row r="33" spans="1:14" x14ac:dyDescent="0.3">
      <c r="A33" s="41" t="s">
        <v>47</v>
      </c>
      <c r="B33" s="5"/>
      <c r="C33" s="6">
        <f>IF(C14=0,0,MIN(25%*(C14-C32),C3,C14))</f>
        <v>0</v>
      </c>
      <c r="D33" s="5"/>
      <c r="E33" s="87">
        <v>10</v>
      </c>
      <c r="F33" s="5"/>
      <c r="G33" s="6">
        <f>IF(G14=0,0,MIN(25%*(G14-G32),G3,G14))</f>
        <v>20</v>
      </c>
      <c r="H33" s="5"/>
      <c r="I33" s="6">
        <f>IF(I14=0,0,MIN(25%*(I14-I32),I3,I14))</f>
        <v>20</v>
      </c>
      <c r="J33" s="5"/>
      <c r="K33" s="6">
        <f>IF(K14=0,0,MIN(25%*(K14-K32),K3,K14))</f>
        <v>0</v>
      </c>
      <c r="L33" s="5"/>
      <c r="M33" s="6">
        <v>0</v>
      </c>
      <c r="N33" s="5"/>
    </row>
    <row r="34" spans="1:14" x14ac:dyDescent="0.3">
      <c r="A34" s="81" t="s">
        <v>51</v>
      </c>
      <c r="B34" s="5"/>
      <c r="C34" s="6">
        <f>IF(C20=0,0,MIN(C19,C29-C30-C32))</f>
        <v>0</v>
      </c>
      <c r="D34" s="5"/>
      <c r="E34" s="6">
        <f>IF(E20=0,0,MIN(E19,E29-E30-E32))</f>
        <v>0</v>
      </c>
      <c r="F34" s="5"/>
      <c r="G34" s="6">
        <f>IF(G20=0,0,MIN(G19,G29-G30-G32))</f>
        <v>0</v>
      </c>
      <c r="H34" s="5"/>
      <c r="I34" s="6">
        <f>IF(I20=0,0,MIN(I19,I29-I30-I32))</f>
        <v>0</v>
      </c>
      <c r="J34" s="5"/>
      <c r="K34" s="6">
        <f>IF(K20=0,0,MIN(K19,K29-K30-K32))</f>
        <v>80</v>
      </c>
      <c r="L34" s="5"/>
      <c r="M34" s="6">
        <f>IF(M20=0,0,MIN(M19,M29-M30-M32))</f>
        <v>0</v>
      </c>
      <c r="N34" s="5"/>
    </row>
    <row r="35" spans="1:14" x14ac:dyDescent="0.3">
      <c r="A35" s="41" t="s">
        <v>79</v>
      </c>
      <c r="B35" s="5"/>
      <c r="C35" s="6">
        <f>IF(C19=0,0,MIN(25%*(C21-C34),C4,C19))</f>
        <v>0</v>
      </c>
      <c r="D35" s="5"/>
      <c r="E35" s="6">
        <f>IF(E19=0,0,MIN(25%*(E21-E34),E4,E19))</f>
        <v>0</v>
      </c>
      <c r="F35" s="5"/>
      <c r="G35" s="6">
        <f>IF(G19=0,0,MIN(25%*(G21-G34),G4,G19))</f>
        <v>0</v>
      </c>
      <c r="H35" s="5"/>
      <c r="I35" s="6">
        <f>IF(I19=0,0,MIN(25%*I19,I3-I33,I19))</f>
        <v>0</v>
      </c>
      <c r="J35" s="5"/>
      <c r="K35" s="87">
        <f>IF(K19=0,0,MIN(25%*(K19-K34),K19-K29-K22))</f>
        <v>220</v>
      </c>
      <c r="L35" s="5"/>
      <c r="M35" s="6">
        <v>0</v>
      </c>
      <c r="N35" s="5"/>
    </row>
    <row r="36" spans="1:14" x14ac:dyDescent="0.3">
      <c r="A36" s="81" t="s">
        <v>53</v>
      </c>
      <c r="B36" s="5"/>
      <c r="C36" s="6">
        <f>C37</f>
        <v>0</v>
      </c>
      <c r="D36" s="5"/>
      <c r="E36" s="6">
        <f>E37</f>
        <v>0</v>
      </c>
      <c r="F36" s="5"/>
      <c r="G36" s="6">
        <f>G37</f>
        <v>0</v>
      </c>
      <c r="H36" s="5"/>
      <c r="I36" s="6">
        <f>I37</f>
        <v>0</v>
      </c>
      <c r="J36" s="5"/>
      <c r="K36" s="6">
        <f>K37</f>
        <v>0</v>
      </c>
      <c r="L36" s="5"/>
      <c r="M36" s="6">
        <f>M37</f>
        <v>0</v>
      </c>
      <c r="N36" s="5"/>
    </row>
    <row r="37" spans="1:14" x14ac:dyDescent="0.3">
      <c r="A37" s="41" t="s">
        <v>28</v>
      </c>
      <c r="B37" s="5"/>
      <c r="C37" s="6">
        <f>IF(C24=0,0,IF(C19&gt;0,0,5))</f>
        <v>0</v>
      </c>
      <c r="D37" s="5"/>
      <c r="E37" s="6">
        <f>IF(E24=0,0,IF(E19&gt;0,0,5))</f>
        <v>0</v>
      </c>
      <c r="F37" s="5"/>
      <c r="G37" s="6">
        <f>IF(G24=0,0,IF(G19&gt;0,0,5))</f>
        <v>0</v>
      </c>
      <c r="H37" s="5"/>
      <c r="I37" s="6">
        <f>IF(I24=0,0,IF(I19&gt;0,0,5))</f>
        <v>0</v>
      </c>
      <c r="J37" s="5"/>
      <c r="K37" s="6">
        <f>IF(K24=0,0,IF(K19&gt;0,0,5))</f>
        <v>0</v>
      </c>
      <c r="L37" s="5"/>
      <c r="M37" s="6">
        <f>IF(M24=0,0,IF(M19&gt;0,0,5))</f>
        <v>0</v>
      </c>
      <c r="N37" s="5"/>
    </row>
    <row r="38" spans="1:14" x14ac:dyDescent="0.3">
      <c r="A38" s="39" t="s">
        <v>36</v>
      </c>
      <c r="B38" s="5"/>
      <c r="C38" s="10"/>
      <c r="D38" s="5"/>
      <c r="E38" s="10"/>
      <c r="F38" s="5"/>
      <c r="G38" s="10"/>
      <c r="H38" s="5"/>
      <c r="I38" s="10"/>
      <c r="J38" s="5"/>
      <c r="K38" s="10"/>
      <c r="L38" s="5"/>
      <c r="M38" s="10"/>
      <c r="N38" s="5"/>
    </row>
    <row r="39" spans="1:14" x14ac:dyDescent="0.3">
      <c r="A39" s="41" t="s">
        <v>54</v>
      </c>
      <c r="B39" s="5"/>
      <c r="C39" s="6">
        <f>C30+C32+C34+C36</f>
        <v>80</v>
      </c>
      <c r="D39" s="5"/>
      <c r="E39" s="6">
        <f>E30+E32+E34+E36</f>
        <v>80</v>
      </c>
      <c r="F39" s="5"/>
      <c r="G39" s="6">
        <f>G30+G32+G34+G36</f>
        <v>80</v>
      </c>
      <c r="H39" s="5"/>
      <c r="I39" s="6">
        <f>I30+I32+I34+I36</f>
        <v>80</v>
      </c>
      <c r="J39" s="5"/>
      <c r="K39" s="6">
        <f>K30+K32+K34+K36</f>
        <v>80</v>
      </c>
      <c r="L39" s="5"/>
      <c r="M39" s="6">
        <f>M30+M32+M34+M36</f>
        <v>80</v>
      </c>
      <c r="N39" s="5"/>
    </row>
    <row r="40" spans="1:14" x14ac:dyDescent="0.3">
      <c r="A40" s="41" t="s">
        <v>14</v>
      </c>
      <c r="B40" s="5"/>
      <c r="C40" s="6">
        <f>C30+C31</f>
        <v>90</v>
      </c>
      <c r="D40" s="5"/>
      <c r="E40" s="6">
        <f>E30+E31</f>
        <v>5</v>
      </c>
      <c r="F40" s="5"/>
      <c r="G40" s="6">
        <f>G30+G31</f>
        <v>0</v>
      </c>
      <c r="H40" s="5"/>
      <c r="I40" s="6">
        <f>I30+I31</f>
        <v>0</v>
      </c>
      <c r="J40" s="5"/>
      <c r="K40" s="6">
        <f>K30+K31</f>
        <v>0</v>
      </c>
      <c r="L40" s="5"/>
      <c r="M40" s="6">
        <f>M30+M31</f>
        <v>90</v>
      </c>
      <c r="N40" s="5"/>
    </row>
    <row r="41" spans="1:14" x14ac:dyDescent="0.3">
      <c r="A41" s="41" t="s">
        <v>109</v>
      </c>
      <c r="B41" s="5"/>
      <c r="C41" s="6">
        <f>C13</f>
        <v>0</v>
      </c>
      <c r="D41" s="5"/>
      <c r="E41" s="6">
        <f>E13</f>
        <v>0</v>
      </c>
      <c r="F41" s="5"/>
      <c r="G41" s="6">
        <f>G13</f>
        <v>0</v>
      </c>
      <c r="H41" s="5"/>
      <c r="I41" s="6">
        <f>I13</f>
        <v>0</v>
      </c>
      <c r="J41" s="5"/>
      <c r="K41" s="6">
        <f>K13</f>
        <v>0</v>
      </c>
      <c r="L41" s="5"/>
      <c r="M41" s="6">
        <f>M13</f>
        <v>0</v>
      </c>
      <c r="N41" s="5"/>
    </row>
    <row r="42" spans="1:14" x14ac:dyDescent="0.3">
      <c r="A42" s="41" t="s">
        <v>99</v>
      </c>
      <c r="B42" s="5"/>
      <c r="C42" s="6">
        <f>IF(C12=0,0,C12-C30-C31)</f>
        <v>350</v>
      </c>
      <c r="D42" s="5"/>
      <c r="E42" s="6">
        <f>IF(E12=0,0,E12-E30-E31)</f>
        <v>0</v>
      </c>
      <c r="F42" s="5"/>
      <c r="G42" s="6">
        <f>IF(G12=0,0,G12-G30-G31)</f>
        <v>0</v>
      </c>
      <c r="H42" s="5"/>
      <c r="I42" s="6">
        <f>IF(I12=0,0,I12-I30-I31)</f>
        <v>0</v>
      </c>
      <c r="J42" s="5"/>
      <c r="K42" s="6">
        <f>IF(K12=0,0,K12-K30-K31)</f>
        <v>0</v>
      </c>
      <c r="L42" s="5"/>
      <c r="M42" s="6">
        <f>IF(M12=0,0,M12-M30-M31)</f>
        <v>390</v>
      </c>
      <c r="N42" s="5"/>
    </row>
    <row r="43" spans="1:14" x14ac:dyDescent="0.3">
      <c r="A43" s="41" t="s">
        <v>110</v>
      </c>
      <c r="B43" s="5"/>
      <c r="C43" s="6">
        <f>C32+C33</f>
        <v>0</v>
      </c>
      <c r="D43" s="5"/>
      <c r="E43" s="6">
        <f>E32+E33</f>
        <v>85</v>
      </c>
      <c r="F43" s="5"/>
      <c r="G43" s="6">
        <f>G32+G33</f>
        <v>100</v>
      </c>
      <c r="H43" s="5"/>
      <c r="I43" s="6">
        <f>I32+I33</f>
        <v>100</v>
      </c>
      <c r="J43" s="5"/>
      <c r="K43" s="6">
        <f>K32+K33</f>
        <v>0</v>
      </c>
      <c r="L43" s="5"/>
      <c r="M43" s="6">
        <f>M32+M33</f>
        <v>0</v>
      </c>
      <c r="N43" s="5"/>
    </row>
    <row r="44" spans="1:14" x14ac:dyDescent="0.3">
      <c r="A44" s="41" t="s">
        <v>101</v>
      </c>
      <c r="B44" s="5"/>
      <c r="C44" s="6">
        <f>C16</f>
        <v>0</v>
      </c>
      <c r="D44" s="5"/>
      <c r="E44" s="6">
        <f>E16</f>
        <v>746.25</v>
      </c>
      <c r="F44" s="5"/>
      <c r="G44" s="6">
        <f>G16</f>
        <v>750</v>
      </c>
      <c r="H44" s="5"/>
      <c r="I44" s="6">
        <f>I16</f>
        <v>615</v>
      </c>
      <c r="J44" s="5"/>
      <c r="K44" s="6">
        <f>K16</f>
        <v>0</v>
      </c>
      <c r="L44" s="5"/>
      <c r="M44" s="6">
        <f>M16</f>
        <v>2962.5</v>
      </c>
      <c r="N44" s="5"/>
    </row>
    <row r="45" spans="1:14" x14ac:dyDescent="0.3">
      <c r="A45" s="41" t="s">
        <v>111</v>
      </c>
      <c r="B45" s="5"/>
      <c r="C45" s="6">
        <f>C14-C43-C44</f>
        <v>0</v>
      </c>
      <c r="D45" s="5"/>
      <c r="E45" s="6">
        <f>E14-E43-E44</f>
        <v>163.75</v>
      </c>
      <c r="F45" s="5"/>
      <c r="G45" s="6">
        <f>G14-G43-G44</f>
        <v>150</v>
      </c>
      <c r="H45" s="5"/>
      <c r="I45" s="6">
        <f>I14-I43-I44</f>
        <v>105</v>
      </c>
      <c r="J45" s="5"/>
      <c r="K45" s="6">
        <f>K14-K43-K44</f>
        <v>0</v>
      </c>
      <c r="L45" s="5"/>
      <c r="M45" s="6">
        <f>M14-M43-M44</f>
        <v>987.5</v>
      </c>
      <c r="N45" s="5"/>
    </row>
    <row r="46" spans="1:14" x14ac:dyDescent="0.3">
      <c r="A46" s="41" t="s">
        <v>103</v>
      </c>
      <c r="B46" s="5"/>
      <c r="C46" s="6">
        <f>C34+C35+C22</f>
        <v>0</v>
      </c>
      <c r="D46" s="5"/>
      <c r="E46" s="6">
        <f>E34+E35+E22</f>
        <v>0</v>
      </c>
      <c r="F46" s="5"/>
      <c r="G46" s="6">
        <f>G34+G35+G22</f>
        <v>0</v>
      </c>
      <c r="H46" s="5"/>
      <c r="I46" s="6">
        <f>I34+I35+I22</f>
        <v>126</v>
      </c>
      <c r="J46" s="5"/>
      <c r="K46" s="6">
        <f>K34+K35+K22</f>
        <v>1000</v>
      </c>
      <c r="L46" s="5"/>
      <c r="M46" s="6">
        <f>M34+M35+M22</f>
        <v>399</v>
      </c>
      <c r="N46" s="5"/>
    </row>
    <row r="47" spans="1:14" x14ac:dyDescent="0.3">
      <c r="A47" s="41" t="s">
        <v>104</v>
      </c>
      <c r="B47" s="5"/>
      <c r="C47" s="6">
        <f>C23</f>
        <v>0</v>
      </c>
      <c r="D47" s="5"/>
      <c r="E47" s="6">
        <f>E23</f>
        <v>0</v>
      </c>
      <c r="F47" s="5"/>
      <c r="G47" s="6">
        <f>G23</f>
        <v>0</v>
      </c>
      <c r="H47" s="5"/>
      <c r="I47" s="6">
        <f>I23</f>
        <v>9</v>
      </c>
      <c r="J47" s="5"/>
      <c r="K47" s="6">
        <f>K23</f>
        <v>50</v>
      </c>
      <c r="L47" s="5"/>
      <c r="M47" s="6">
        <f>M23</f>
        <v>28.5</v>
      </c>
      <c r="N47" s="5"/>
    </row>
    <row r="48" spans="1:14" x14ac:dyDescent="0.3">
      <c r="A48" s="41" t="s">
        <v>105</v>
      </c>
      <c r="B48" s="5"/>
      <c r="C48" s="6">
        <f>IF(C9+C40+C43+C46&lt;7050,C19-C46-C47+C24,C19-C46-C47)</f>
        <v>0</v>
      </c>
      <c r="D48" s="5"/>
      <c r="E48" s="6">
        <f>IF(E9+E40+E43+E46&lt;7050,E19-E46-E47+E24,E19-E46-E47)</f>
        <v>0</v>
      </c>
      <c r="F48" s="5"/>
      <c r="G48" s="6">
        <f>IF(G9+G40+G43+G46&lt;7050,G19-G46-G47+G24,G19-G46-G47)</f>
        <v>0</v>
      </c>
      <c r="H48" s="5"/>
      <c r="I48" s="6">
        <f>IF(I9+I40+I43+I46&lt;7050,I19-I46-I47+I24,I19-I46-I47)</f>
        <v>45</v>
      </c>
      <c r="J48" s="5"/>
      <c r="K48" s="6">
        <f>IF(K9+K40+K43+K46&lt;7050,K19-K46-K47+K24,K19-K46-K47)</f>
        <v>-50</v>
      </c>
      <c r="L48" s="5"/>
      <c r="M48" s="6">
        <f>IF(M9+M40+M43+M46&lt;7050,M19-M46-M47+M24,M19-M46-M47)</f>
        <v>142.5</v>
      </c>
      <c r="N48" s="5"/>
    </row>
    <row r="49" spans="1:14" x14ac:dyDescent="0.3">
      <c r="A49" s="41" t="s">
        <v>106</v>
      </c>
      <c r="B49" s="5"/>
      <c r="C49" s="6">
        <f>C37</f>
        <v>0</v>
      </c>
      <c r="D49" s="5"/>
      <c r="E49" s="6">
        <f>E37</f>
        <v>0</v>
      </c>
      <c r="F49" s="5"/>
      <c r="G49" s="6">
        <f>G37</f>
        <v>0</v>
      </c>
      <c r="H49" s="5"/>
      <c r="I49" s="6">
        <f>I37</f>
        <v>0</v>
      </c>
      <c r="J49" s="5"/>
      <c r="K49" s="6">
        <f>K37</f>
        <v>0</v>
      </c>
      <c r="L49" s="5"/>
      <c r="M49" s="6">
        <f>M37</f>
        <v>0</v>
      </c>
      <c r="N49" s="5"/>
    </row>
    <row r="50" spans="1:14" x14ac:dyDescent="0.3">
      <c r="A50" s="41" t="s">
        <v>107</v>
      </c>
      <c r="B50" s="5"/>
      <c r="C50" s="6">
        <f>IF(C9+C40+C43+C46&lt;7050,0,C26)</f>
        <v>0</v>
      </c>
      <c r="D50" s="5"/>
      <c r="E50" s="6">
        <f>IF(E9+E40+E43+E46&lt;7050,0,E26)</f>
        <v>0</v>
      </c>
      <c r="F50" s="5"/>
      <c r="G50" s="6">
        <f>IF(G9+G40+G43+G46&lt;7050,0,G26)</f>
        <v>0</v>
      </c>
      <c r="H50" s="5"/>
      <c r="I50" s="6">
        <f>IF(I9+I40+I43+I46&lt;7050,0,I26)</f>
        <v>0</v>
      </c>
      <c r="J50" s="5"/>
      <c r="K50" s="6">
        <f>IF(K9+K40+K43+K46&lt;7050,0,K26)</f>
        <v>0</v>
      </c>
      <c r="L50" s="5"/>
      <c r="M50" s="6">
        <f>IF(M9+M40+M43+M46&lt;7050,0,M26)</f>
        <v>0</v>
      </c>
      <c r="N50" s="5"/>
    </row>
    <row r="51" spans="1:14" x14ac:dyDescent="0.3">
      <c r="A51" s="41" t="s">
        <v>108</v>
      </c>
      <c r="B51" s="5"/>
      <c r="C51" s="6">
        <f>IF(C9+C40+C43+C46&lt;7050,0,C25-C37)</f>
        <v>0</v>
      </c>
      <c r="D51" s="5"/>
      <c r="E51" s="6">
        <f>IF(E9+E40+E43+E46&lt;7050,0,E25-E37)</f>
        <v>0</v>
      </c>
      <c r="F51" s="5"/>
      <c r="G51" s="6">
        <f>IF(G9+G40+G43+G46&lt;7050,0,G25-G37)</f>
        <v>0</v>
      </c>
      <c r="H51" s="5"/>
      <c r="I51" s="6">
        <f>IF(I9+I40+I43+I46&lt;7050,0,I25-I37)</f>
        <v>0</v>
      </c>
      <c r="J51" s="5"/>
      <c r="K51" s="6">
        <f>IF(K9+K40+K43+K46&lt;7050,0,K25-K37)</f>
        <v>0</v>
      </c>
      <c r="L51" s="5"/>
      <c r="M51" s="6">
        <f>IF(M9+M40+M43+M46&lt;7050,0,M25-M37)</f>
        <v>0</v>
      </c>
      <c r="N51" s="5"/>
    </row>
    <row r="52" spans="1:14" x14ac:dyDescent="0.3">
      <c r="A52" s="39" t="s">
        <v>3</v>
      </c>
      <c r="B52" s="5"/>
      <c r="C52" s="10"/>
      <c r="D52" s="5"/>
      <c r="E52" s="10"/>
      <c r="F52" s="5"/>
      <c r="G52" s="10"/>
      <c r="H52" s="5"/>
      <c r="I52" s="10"/>
      <c r="J52" s="5"/>
      <c r="K52" s="10"/>
      <c r="L52" s="5"/>
      <c r="M52" s="10"/>
      <c r="N52" s="5"/>
    </row>
    <row r="53" spans="1:14" x14ac:dyDescent="0.3">
      <c r="A53" s="43" t="s">
        <v>86</v>
      </c>
      <c r="B53" s="5"/>
      <c r="C53" s="9">
        <f>C40+C43+C46+C22</f>
        <v>90</v>
      </c>
      <c r="D53" s="5"/>
      <c r="E53" s="9">
        <f>E40+E43+E46+E22</f>
        <v>90</v>
      </c>
      <c r="F53" s="5"/>
      <c r="G53" s="9">
        <f>G40+G43+G46+G22</f>
        <v>100</v>
      </c>
      <c r="H53" s="5"/>
      <c r="I53" s="9">
        <f>I40+I43+I46+I22</f>
        <v>352</v>
      </c>
      <c r="J53" s="5"/>
      <c r="K53" s="9">
        <f>K40+K43+K46+K22</f>
        <v>1700</v>
      </c>
      <c r="L53" s="5"/>
      <c r="M53" s="9">
        <f>M40+M43+M46+M22</f>
        <v>888</v>
      </c>
      <c r="N53" s="5"/>
    </row>
    <row r="54" spans="1:14" x14ac:dyDescent="0.3">
      <c r="A54" s="43" t="s">
        <v>2</v>
      </c>
      <c r="B54" s="5"/>
      <c r="C54" s="9">
        <f>C30+C31+C32+C33+C34+C35+C37</f>
        <v>90</v>
      </c>
      <c r="D54" s="5"/>
      <c r="E54" s="9">
        <f>E30+E31+E32+E33+E34+E35+E37</f>
        <v>90</v>
      </c>
      <c r="F54" s="5"/>
      <c r="G54" s="9">
        <f>G30+G31+G32+G33+G34+G35+G37</f>
        <v>100</v>
      </c>
      <c r="H54" s="5"/>
      <c r="I54" s="9">
        <f>I30+I31+I32+I33+I34+I35+I37</f>
        <v>100</v>
      </c>
      <c r="J54" s="5"/>
      <c r="K54" s="9">
        <f>K30+K31+K32+K33+K34+K35+K37</f>
        <v>300</v>
      </c>
      <c r="L54" s="5"/>
      <c r="M54" s="9">
        <f>M30+M31+M32+M33+M34+M35+M37</f>
        <v>90</v>
      </c>
      <c r="N54" s="5"/>
    </row>
    <row r="55" spans="1:14" x14ac:dyDescent="0.3">
      <c r="A55" s="44" t="s">
        <v>11</v>
      </c>
      <c r="B55" s="5"/>
      <c r="C55" s="6">
        <f>C22</f>
        <v>0</v>
      </c>
      <c r="D55" s="5"/>
      <c r="E55" s="6">
        <f>E22</f>
        <v>0</v>
      </c>
      <c r="F55" s="5"/>
      <c r="G55" s="6">
        <f>G22</f>
        <v>0</v>
      </c>
      <c r="H55" s="5"/>
      <c r="I55" s="6">
        <f>I22</f>
        <v>126</v>
      </c>
      <c r="J55" s="5"/>
      <c r="K55" s="6">
        <f>K22</f>
        <v>700</v>
      </c>
      <c r="L55" s="5"/>
      <c r="M55" s="6">
        <f>M22</f>
        <v>399</v>
      </c>
      <c r="N55" s="5"/>
    </row>
    <row r="56" spans="1:14" x14ac:dyDescent="0.3">
      <c r="A56" s="43" t="s">
        <v>5</v>
      </c>
      <c r="B56" s="5"/>
      <c r="C56" s="9">
        <f>SUM(C13,C16,C23,C26)</f>
        <v>0</v>
      </c>
      <c r="D56" s="5"/>
      <c r="E56" s="9">
        <f>SUM(E13,E16,E23,E26)</f>
        <v>746.25</v>
      </c>
      <c r="F56" s="5"/>
      <c r="G56" s="9">
        <f>SUM(G13,G16,G23,G26)</f>
        <v>750</v>
      </c>
      <c r="H56" s="5"/>
      <c r="I56" s="9">
        <f>SUM(I13,I16,I23,I26)</f>
        <v>624</v>
      </c>
      <c r="J56" s="5"/>
      <c r="K56" s="9">
        <f>SUM(K13,K16,K23,K26)</f>
        <v>50</v>
      </c>
      <c r="L56" s="5"/>
      <c r="M56" s="9">
        <f>SUM(M13,M16,M23,M26)</f>
        <v>2991</v>
      </c>
      <c r="N56" s="5"/>
    </row>
    <row r="57" spans="1:14" x14ac:dyDescent="0.3">
      <c r="A57" s="43" t="s">
        <v>7</v>
      </c>
      <c r="B57" s="5"/>
      <c r="C57" s="12">
        <f>C42+C45+C48+C51</f>
        <v>350</v>
      </c>
      <c r="D57" s="5"/>
      <c r="E57" s="12">
        <f>E42+E45+E48+E51</f>
        <v>163.75</v>
      </c>
      <c r="F57" s="5"/>
      <c r="G57" s="12">
        <f>G42+G45+G48+G51</f>
        <v>150</v>
      </c>
      <c r="H57" s="5"/>
      <c r="I57" s="12">
        <f>I42+I45+I48+I51</f>
        <v>150</v>
      </c>
      <c r="J57" s="5"/>
      <c r="K57" s="12">
        <f>K42+K45+K48+K51</f>
        <v>-50</v>
      </c>
      <c r="L57" s="5"/>
      <c r="M57" s="12">
        <f>M42+M45+M48+M51</f>
        <v>1520</v>
      </c>
      <c r="N57" s="5"/>
    </row>
    <row r="58" spans="1:14" x14ac:dyDescent="0.3">
      <c r="A58" s="43"/>
      <c r="B58" s="5"/>
      <c r="C58" s="12"/>
      <c r="D58" s="5"/>
      <c r="E58" s="12"/>
      <c r="F58" s="5"/>
      <c r="G58" s="12"/>
      <c r="H58" s="5"/>
      <c r="I58" s="12"/>
      <c r="J58" s="5"/>
      <c r="K58" s="12"/>
      <c r="L58" s="5"/>
      <c r="M58" s="12"/>
      <c r="N58" s="5"/>
    </row>
    <row r="59" spans="1:14" x14ac:dyDescent="0.3">
      <c r="A59" s="45" t="s">
        <v>4</v>
      </c>
      <c r="B59" s="5"/>
      <c r="C59" s="13">
        <f>SUM(C54:C57)</f>
        <v>440</v>
      </c>
      <c r="D59" s="5"/>
      <c r="E59" s="13">
        <f>SUM(E54:E57)</f>
        <v>1000</v>
      </c>
      <c r="F59" s="5"/>
      <c r="G59" s="13">
        <f>SUM(G54:G57)</f>
        <v>1000</v>
      </c>
      <c r="H59" s="5"/>
      <c r="I59" s="13">
        <f>SUM(I54:I57)</f>
        <v>1000</v>
      </c>
      <c r="J59" s="5"/>
      <c r="K59" s="13">
        <f>SUM(K54:K57)</f>
        <v>1000</v>
      </c>
      <c r="L59" s="5"/>
      <c r="M59" s="13">
        <f>SUM(M54:M57)</f>
        <v>5000</v>
      </c>
      <c r="N59" s="5"/>
    </row>
    <row r="60" spans="1:14" x14ac:dyDescent="0.3">
      <c r="A60" s="14"/>
      <c r="B60" s="15"/>
      <c r="C60" s="16"/>
      <c r="D60" s="15"/>
      <c r="E60" s="16"/>
      <c r="F60" s="15"/>
      <c r="G60" s="16"/>
      <c r="H60" s="15"/>
      <c r="I60" s="16"/>
      <c r="J60" s="15"/>
      <c r="K60" s="16"/>
      <c r="L60" s="15"/>
      <c r="M60" s="16"/>
      <c r="N60" s="15"/>
    </row>
    <row r="61" spans="1:14" x14ac:dyDescent="0.3">
      <c r="A61" s="22" t="s">
        <v>37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</row>
    <row r="62" spans="1:14" x14ac:dyDescent="0.3">
      <c r="A62" s="24" t="s">
        <v>39</v>
      </c>
      <c r="B62" s="15"/>
      <c r="C62" s="33">
        <f>SUM(C56)</f>
        <v>0</v>
      </c>
      <c r="D62" s="15"/>
      <c r="E62" s="33">
        <f>SUM(E56)</f>
        <v>746.25</v>
      </c>
      <c r="F62" s="15"/>
      <c r="G62" s="33">
        <f>SUM(G56)</f>
        <v>750</v>
      </c>
      <c r="H62" s="15"/>
      <c r="I62" s="33">
        <f>SUM(I56)</f>
        <v>624</v>
      </c>
      <c r="J62" s="15"/>
      <c r="K62" s="33">
        <f>SUM(K56)</f>
        <v>50</v>
      </c>
      <c r="L62" s="15"/>
      <c r="M62" s="33">
        <f>SUM(M56)</f>
        <v>2991</v>
      </c>
      <c r="N62" s="15"/>
    </row>
    <row r="63" spans="1:14" x14ac:dyDescent="0.3">
      <c r="A63" s="25" t="s">
        <v>40</v>
      </c>
      <c r="B63" s="15"/>
      <c r="C63" s="33">
        <v>0</v>
      </c>
      <c r="D63" s="15"/>
      <c r="E63" s="33">
        <v>0</v>
      </c>
      <c r="F63" s="15"/>
      <c r="G63" s="33">
        <v>0</v>
      </c>
      <c r="H63" s="15"/>
      <c r="I63" s="33">
        <v>0</v>
      </c>
      <c r="J63" s="15"/>
      <c r="K63" s="33">
        <v>0</v>
      </c>
      <c r="L63" s="15"/>
      <c r="M63" s="33">
        <v>0</v>
      </c>
      <c r="N63" s="15"/>
    </row>
    <row r="64" spans="1:14" x14ac:dyDescent="0.3">
      <c r="A64" s="46" t="s">
        <v>41</v>
      </c>
      <c r="B64" s="15"/>
      <c r="C64" s="17"/>
      <c r="D64" s="15"/>
      <c r="E64" s="17"/>
      <c r="F64" s="15"/>
      <c r="G64" s="17"/>
      <c r="H64" s="15"/>
      <c r="I64" s="17"/>
      <c r="J64" s="15"/>
      <c r="K64" s="17"/>
      <c r="L64" s="15"/>
      <c r="M64" s="17"/>
      <c r="N64" s="15"/>
    </row>
    <row r="65" spans="1:14" ht="65" x14ac:dyDescent="0.3">
      <c r="A65" s="47" t="s">
        <v>42</v>
      </c>
      <c r="B65" s="15"/>
      <c r="C65" s="27">
        <f>C54+C55+C57+C62+C63</f>
        <v>440</v>
      </c>
      <c r="D65" s="15"/>
      <c r="E65" s="27">
        <f>E54+E55+E57+E62+E63</f>
        <v>1000</v>
      </c>
      <c r="F65" s="15"/>
      <c r="G65" s="27">
        <f>G54+G55+G57+G62+G63</f>
        <v>1000</v>
      </c>
      <c r="H65" s="15"/>
      <c r="I65" s="27">
        <f>I54+I55+I57+I62+I63</f>
        <v>1000</v>
      </c>
      <c r="J65" s="15"/>
      <c r="K65" s="27">
        <f>K54+K55+K57+K62+K63</f>
        <v>1000</v>
      </c>
      <c r="L65" s="15"/>
      <c r="M65" s="27">
        <f>M54+M55+M57+M62+M63</f>
        <v>5000</v>
      </c>
      <c r="N65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59"/>
  <sheetViews>
    <sheetView zoomScale="80" zoomScaleNormal="80" workbookViewId="0">
      <pane xSplit="2" ySplit="9" topLeftCell="H34" activePane="bottomRight" state="frozen"/>
      <selection pane="topRight" activeCell="C1" sqref="C1"/>
      <selection pane="bottomLeft" activeCell="A8" sqref="A8"/>
      <selection pane="bottomRight" activeCell="S36" sqref="S36"/>
    </sheetView>
  </sheetViews>
  <sheetFormatPr defaultColWidth="9.1796875" defaultRowHeight="13" x14ac:dyDescent="0.3"/>
  <cols>
    <col min="1" max="1" width="51" style="4" customWidth="1"/>
    <col min="2" max="2" width="3.26953125" style="4" customWidth="1"/>
    <col min="3" max="3" width="19.7265625" style="18" customWidth="1"/>
    <col min="4" max="4" width="3.26953125" style="4" customWidth="1"/>
    <col min="5" max="5" width="19.7265625" style="18" customWidth="1"/>
    <col min="6" max="6" width="19.81640625" style="18" customWidth="1"/>
    <col min="7" max="7" width="3.26953125" style="4" customWidth="1"/>
    <col min="8" max="9" width="19.7265625" style="18" customWidth="1"/>
    <col min="10" max="10" width="3.26953125" style="4" customWidth="1"/>
    <col min="11" max="12" width="19.7265625" style="18" customWidth="1"/>
    <col min="13" max="13" width="3.26953125" style="4" customWidth="1"/>
    <col min="14" max="14" width="19.7265625" style="18" customWidth="1"/>
    <col min="15" max="15" width="19.81640625" style="18" customWidth="1"/>
    <col min="16" max="16" width="3.26953125" style="4" customWidth="1"/>
    <col min="17" max="17" width="19.7265625" style="18" customWidth="1"/>
    <col min="18" max="18" width="3.26953125" style="4" customWidth="1"/>
    <col min="19" max="16384" width="9.1796875" style="4"/>
  </cols>
  <sheetData>
    <row r="1" spans="1:18" ht="149.25" customHeight="1" x14ac:dyDescent="0.3">
      <c r="A1" s="21" t="s">
        <v>84</v>
      </c>
      <c r="B1" s="2"/>
      <c r="C1" s="3" t="s">
        <v>55</v>
      </c>
      <c r="D1" s="2"/>
      <c r="E1" s="20" t="s">
        <v>63</v>
      </c>
      <c r="F1" s="3" t="s">
        <v>74</v>
      </c>
      <c r="G1" s="2"/>
      <c r="H1" s="20" t="s">
        <v>64</v>
      </c>
      <c r="I1" s="3" t="s">
        <v>75</v>
      </c>
      <c r="J1" s="2"/>
      <c r="K1" s="20" t="s">
        <v>64</v>
      </c>
      <c r="L1" s="3" t="s">
        <v>76</v>
      </c>
      <c r="M1" s="2"/>
      <c r="N1" s="20" t="s">
        <v>85</v>
      </c>
      <c r="O1" s="3" t="s">
        <v>77</v>
      </c>
      <c r="P1" s="2"/>
      <c r="Q1" s="3" t="s">
        <v>78</v>
      </c>
      <c r="R1" s="2"/>
    </row>
    <row r="2" spans="1:18" x14ac:dyDescent="0.3">
      <c r="A2" s="36" t="s">
        <v>65</v>
      </c>
      <c r="B2" s="5"/>
      <c r="C2" s="6">
        <v>10</v>
      </c>
      <c r="D2" s="7"/>
      <c r="E2" s="6">
        <v>10</v>
      </c>
      <c r="F2" s="6">
        <v>10</v>
      </c>
      <c r="G2" s="5"/>
      <c r="H2" s="6">
        <v>10</v>
      </c>
      <c r="I2" s="6">
        <v>10</v>
      </c>
      <c r="J2" s="5"/>
      <c r="K2" s="6">
        <v>10</v>
      </c>
      <c r="L2" s="6">
        <v>10</v>
      </c>
      <c r="M2" s="5"/>
      <c r="N2" s="6">
        <v>10</v>
      </c>
      <c r="O2" s="6">
        <v>10</v>
      </c>
      <c r="P2" s="5"/>
      <c r="Q2" s="6">
        <v>10</v>
      </c>
      <c r="R2" s="5"/>
    </row>
    <row r="3" spans="1:18" x14ac:dyDescent="0.3">
      <c r="A3" s="36" t="s">
        <v>29</v>
      </c>
      <c r="B3" s="5"/>
      <c r="C3" s="6">
        <v>20</v>
      </c>
      <c r="D3" s="7"/>
      <c r="E3" s="6">
        <v>20</v>
      </c>
      <c r="F3" s="6">
        <v>20</v>
      </c>
      <c r="G3" s="5"/>
      <c r="H3" s="6">
        <v>20</v>
      </c>
      <c r="I3" s="6">
        <v>20</v>
      </c>
      <c r="J3" s="5"/>
      <c r="K3" s="6">
        <v>20</v>
      </c>
      <c r="L3" s="6">
        <v>20</v>
      </c>
      <c r="M3" s="5"/>
      <c r="N3" s="6">
        <v>20</v>
      </c>
      <c r="O3" s="6">
        <v>20</v>
      </c>
      <c r="P3" s="5"/>
      <c r="Q3" s="6">
        <v>20</v>
      </c>
      <c r="R3" s="5"/>
    </row>
    <row r="4" spans="1:18" x14ac:dyDescent="0.3">
      <c r="A4" s="36" t="s">
        <v>30</v>
      </c>
      <c r="B4" s="5"/>
      <c r="C4" s="6">
        <v>30</v>
      </c>
      <c r="D4" s="7"/>
      <c r="E4" s="6">
        <v>30</v>
      </c>
      <c r="F4" s="6">
        <v>30</v>
      </c>
      <c r="G4" s="5"/>
      <c r="H4" s="6">
        <v>30</v>
      </c>
      <c r="I4" s="6">
        <v>30</v>
      </c>
      <c r="J4" s="5"/>
      <c r="K4" s="6">
        <v>30</v>
      </c>
      <c r="L4" s="6">
        <v>30</v>
      </c>
      <c r="M4" s="5"/>
      <c r="N4" s="6">
        <v>30</v>
      </c>
      <c r="O4" s="6">
        <v>30</v>
      </c>
      <c r="P4" s="5"/>
      <c r="Q4" s="6">
        <v>30</v>
      </c>
      <c r="R4" s="5"/>
    </row>
    <row r="5" spans="1:18" x14ac:dyDescent="0.3">
      <c r="A5" s="36" t="s">
        <v>27</v>
      </c>
      <c r="B5" s="5"/>
      <c r="C5" s="8"/>
      <c r="D5" s="7"/>
      <c r="E5" s="8"/>
      <c r="F5" s="8"/>
      <c r="G5" s="5"/>
      <c r="H5" s="8"/>
      <c r="I5" s="8"/>
      <c r="J5" s="5"/>
      <c r="K5" s="8"/>
      <c r="L5" s="8"/>
      <c r="M5" s="5"/>
      <c r="N5" s="8"/>
      <c r="O5" s="8"/>
      <c r="P5" s="5"/>
      <c r="Q5" s="8"/>
      <c r="R5" s="5"/>
    </row>
    <row r="6" spans="1:18" x14ac:dyDescent="0.3">
      <c r="A6" s="36" t="s">
        <v>1</v>
      </c>
      <c r="B6" s="5"/>
      <c r="C6" s="6">
        <f>SUM(C7:C7)</f>
        <v>440</v>
      </c>
      <c r="D6" s="7"/>
      <c r="E6" s="6">
        <f>SUM(E7:E7)</f>
        <v>475</v>
      </c>
      <c r="F6" s="6">
        <f>SUM(F7:F7)</f>
        <v>1000</v>
      </c>
      <c r="G6" s="5"/>
      <c r="H6" s="6">
        <f>SUM(H7:H7)</f>
        <v>1000</v>
      </c>
      <c r="I6" s="6">
        <f>SUM(I7:I7)</f>
        <v>1000</v>
      </c>
      <c r="J6" s="5"/>
      <c r="K6" s="6">
        <f>SUM(K7:K7)</f>
        <v>4420</v>
      </c>
      <c r="L6" s="6">
        <f>SUM(L7:L7)</f>
        <v>2690</v>
      </c>
      <c r="M6" s="5"/>
      <c r="N6" s="6">
        <f>SUM(N7:N7)</f>
        <v>5000</v>
      </c>
      <c r="O6" s="9">
        <f>SUM(O7:O7)</f>
        <v>2690</v>
      </c>
      <c r="P6" s="5"/>
      <c r="Q6" s="6">
        <f>SUM(Q7:Q7)</f>
        <v>5690</v>
      </c>
      <c r="R6" s="5"/>
    </row>
    <row r="7" spans="1:18" x14ac:dyDescent="0.3">
      <c r="A7" s="37" t="s">
        <v>0</v>
      </c>
      <c r="B7" s="5"/>
      <c r="C7" s="6">
        <v>440</v>
      </c>
      <c r="D7" s="7"/>
      <c r="E7" s="6">
        <v>475</v>
      </c>
      <c r="F7" s="6">
        <v>1000</v>
      </c>
      <c r="G7" s="5"/>
      <c r="H7" s="6">
        <v>1000</v>
      </c>
      <c r="I7" s="6">
        <v>1000</v>
      </c>
      <c r="J7" s="5"/>
      <c r="K7" s="6">
        <v>4420</v>
      </c>
      <c r="L7" s="6">
        <v>2690</v>
      </c>
      <c r="M7" s="5"/>
      <c r="N7" s="6">
        <v>5000</v>
      </c>
      <c r="O7" s="9">
        <v>2690</v>
      </c>
      <c r="P7" s="5"/>
      <c r="Q7" s="6">
        <v>5690</v>
      </c>
      <c r="R7" s="5"/>
    </row>
    <row r="8" spans="1:18" x14ac:dyDescent="0.3">
      <c r="A8" s="38" t="s">
        <v>19</v>
      </c>
      <c r="B8" s="5"/>
      <c r="C8" s="6">
        <v>0</v>
      </c>
      <c r="D8" s="7"/>
      <c r="E8" s="6">
        <v>0</v>
      </c>
      <c r="F8" s="6">
        <f>E6</f>
        <v>475</v>
      </c>
      <c r="G8" s="5"/>
      <c r="H8" s="6">
        <v>0</v>
      </c>
      <c r="I8" s="6">
        <f>H6</f>
        <v>1000</v>
      </c>
      <c r="J8" s="5"/>
      <c r="K8" s="6">
        <v>0</v>
      </c>
      <c r="L8" s="6">
        <f>K6</f>
        <v>4420</v>
      </c>
      <c r="M8" s="5"/>
      <c r="N8" s="6">
        <v>0</v>
      </c>
      <c r="O8" s="6">
        <f>N6</f>
        <v>5000</v>
      </c>
      <c r="P8" s="5"/>
      <c r="Q8" s="6">
        <v>0</v>
      </c>
      <c r="R8" s="5"/>
    </row>
    <row r="9" spans="1:18" x14ac:dyDescent="0.3">
      <c r="A9" s="38" t="s">
        <v>18</v>
      </c>
      <c r="B9" s="5"/>
      <c r="C9" s="6">
        <v>0</v>
      </c>
      <c r="D9" s="7"/>
      <c r="E9" s="6">
        <v>0</v>
      </c>
      <c r="F9" s="6">
        <f>E46</f>
        <v>10</v>
      </c>
      <c r="G9" s="5"/>
      <c r="H9" s="6">
        <v>0</v>
      </c>
      <c r="I9" s="6">
        <f>H46</f>
        <v>10</v>
      </c>
      <c r="J9" s="5"/>
      <c r="K9" s="6">
        <v>0</v>
      </c>
      <c r="L9" s="6">
        <f>K46</f>
        <v>10</v>
      </c>
      <c r="M9" s="5"/>
      <c r="N9" s="6">
        <v>0</v>
      </c>
      <c r="O9" s="6">
        <f>N46</f>
        <v>409</v>
      </c>
      <c r="P9" s="5"/>
      <c r="Q9" s="6">
        <v>0</v>
      </c>
      <c r="R9" s="5"/>
    </row>
    <row r="10" spans="1:18" x14ac:dyDescent="0.3">
      <c r="A10" s="39" t="s">
        <v>6</v>
      </c>
      <c r="B10" s="5"/>
      <c r="C10" s="10"/>
      <c r="D10" s="5"/>
      <c r="E10" s="10"/>
      <c r="F10" s="10"/>
      <c r="G10" s="5"/>
      <c r="H10" s="10"/>
      <c r="I10" s="10"/>
      <c r="J10" s="5"/>
      <c r="K10" s="10"/>
      <c r="L10" s="10"/>
      <c r="M10" s="5"/>
      <c r="N10" s="10"/>
      <c r="O10" s="10"/>
      <c r="P10" s="5"/>
      <c r="Q10" s="10"/>
      <c r="R10" s="5"/>
    </row>
    <row r="11" spans="1:18" x14ac:dyDescent="0.3">
      <c r="A11" s="40" t="s">
        <v>20</v>
      </c>
      <c r="B11" s="5"/>
      <c r="C11" s="11">
        <f>IF(C8&gt;480,0,MIN(480-C8,C6))</f>
        <v>440</v>
      </c>
      <c r="D11" s="5"/>
      <c r="E11" s="11">
        <f>IF(E8&gt;480,0,MIN(480-E8,E6))</f>
        <v>475</v>
      </c>
      <c r="F11" s="11">
        <f>IF(F8&gt;480,0,MIN(480-F8,F6))</f>
        <v>5</v>
      </c>
      <c r="G11" s="5"/>
      <c r="H11" s="11">
        <f>IF(H8&gt;480,0,MIN(480-H8,H6))</f>
        <v>480</v>
      </c>
      <c r="I11" s="11">
        <f>IF(I8&gt;480,0,MIN(480-I8,I6))</f>
        <v>0</v>
      </c>
      <c r="J11" s="5"/>
      <c r="K11" s="11">
        <f>IF(K8&gt;480,0,MIN(480-K8,K6))</f>
        <v>480</v>
      </c>
      <c r="L11" s="11">
        <f>IF(L8&gt;480,0,MIN(480-L8,L6))</f>
        <v>0</v>
      </c>
      <c r="M11" s="5"/>
      <c r="N11" s="11">
        <f>IF(N8&gt;480,0,MIN(480-N8,N6))</f>
        <v>480</v>
      </c>
      <c r="O11" s="11">
        <f>IF(O8&gt;480,0,MIN(480-O8,O6))</f>
        <v>0</v>
      </c>
      <c r="P11" s="5"/>
      <c r="Q11" s="11">
        <f>IF(Q8&gt;480,0,MIN(480-Q8,Q6))</f>
        <v>480</v>
      </c>
      <c r="R11" s="5"/>
    </row>
    <row r="12" spans="1:18" x14ac:dyDescent="0.3">
      <c r="A12" s="41" t="s">
        <v>69</v>
      </c>
      <c r="B12" s="5"/>
      <c r="C12" s="6">
        <f>C11*100%</f>
        <v>440</v>
      </c>
      <c r="D12" s="5"/>
      <c r="E12" s="6">
        <f>E11*100%</f>
        <v>475</v>
      </c>
      <c r="F12" s="6">
        <f>F11*100%</f>
        <v>5</v>
      </c>
      <c r="G12" s="5"/>
      <c r="H12" s="6">
        <f>H11*100%</f>
        <v>480</v>
      </c>
      <c r="I12" s="6">
        <f>I11*100%</f>
        <v>0</v>
      </c>
      <c r="J12" s="5"/>
      <c r="K12" s="6">
        <f>K11*100%</f>
        <v>480</v>
      </c>
      <c r="L12" s="6">
        <f>L11*100%</f>
        <v>0</v>
      </c>
      <c r="M12" s="5"/>
      <c r="N12" s="6">
        <f>N11*100%</f>
        <v>480</v>
      </c>
      <c r="O12" s="6">
        <f>O11*100%</f>
        <v>0</v>
      </c>
      <c r="P12" s="5"/>
      <c r="Q12" s="6">
        <f>Q11*100%</f>
        <v>480</v>
      </c>
      <c r="R12" s="5"/>
    </row>
    <row r="13" spans="1:18" x14ac:dyDescent="0.3">
      <c r="A13" s="41" t="s">
        <v>15</v>
      </c>
      <c r="B13" s="5"/>
      <c r="C13" s="6">
        <f>C11-C12</f>
        <v>0</v>
      </c>
      <c r="D13" s="5"/>
      <c r="E13" s="6">
        <f>E11-E12</f>
        <v>0</v>
      </c>
      <c r="F13" s="6">
        <f>F11-F12</f>
        <v>0</v>
      </c>
      <c r="G13" s="5"/>
      <c r="H13" s="6">
        <f>H11-H12</f>
        <v>0</v>
      </c>
      <c r="I13" s="6">
        <f>I11-I12</f>
        <v>0</v>
      </c>
      <c r="J13" s="5"/>
      <c r="K13" s="6">
        <f>K11-K12</f>
        <v>0</v>
      </c>
      <c r="L13" s="6">
        <f>L11-L12</f>
        <v>0</v>
      </c>
      <c r="M13" s="5"/>
      <c r="N13" s="6">
        <f>N11-N12</f>
        <v>0</v>
      </c>
      <c r="O13" s="6">
        <f>O11-O12</f>
        <v>0</v>
      </c>
      <c r="P13" s="5"/>
      <c r="Q13" s="6">
        <f>Q11-Q12</f>
        <v>0</v>
      </c>
      <c r="R13" s="5"/>
    </row>
    <row r="14" spans="1:18" x14ac:dyDescent="0.3">
      <c r="A14" s="40" t="s">
        <v>21</v>
      </c>
      <c r="B14" s="5"/>
      <c r="C14" s="11">
        <f>IF(C8&gt;4430,0,MIN(4430-C8-C11,C6-C11))</f>
        <v>0</v>
      </c>
      <c r="D14" s="5"/>
      <c r="E14" s="11">
        <f>IF(E8&gt;4430,0,MIN(4430-E8-E11,E6-E11))</f>
        <v>0</v>
      </c>
      <c r="F14" s="11">
        <f>IF(F8&gt;4430,0,MIN(4430-F8-F11,F6-F11))</f>
        <v>995</v>
      </c>
      <c r="G14" s="5"/>
      <c r="H14" s="11">
        <f>IF(H8&gt;4430,0,MIN(4430-H8-H11,H6-H11))</f>
        <v>520</v>
      </c>
      <c r="I14" s="11">
        <f>IF(I8&gt;4430,0,MIN(4430-I8-I11,I6-I11))</f>
        <v>1000</v>
      </c>
      <c r="J14" s="5"/>
      <c r="K14" s="11">
        <f>IF(K8&gt;4430,0,MIN(4430-K8-K11,K6-K11))</f>
        <v>3940</v>
      </c>
      <c r="L14" s="11">
        <f>IF(L8&gt;4430,0,MIN(4430-L8-L11,L6-L11))</f>
        <v>10</v>
      </c>
      <c r="M14" s="5"/>
      <c r="N14" s="11">
        <f>IF(N8&gt;4430,0,MIN(4430-N8-N11,N6-N11))</f>
        <v>3950</v>
      </c>
      <c r="O14" s="11">
        <f>IF(O8&gt;4430,0,MIN(4430-O8-O11,O6-O11))</f>
        <v>0</v>
      </c>
      <c r="P14" s="5"/>
      <c r="Q14" s="11">
        <f>IF(Q8&gt;4430,0,MIN(4430-Q8-Q11,Q6-Q11))</f>
        <v>3950</v>
      </c>
      <c r="R14" s="5"/>
    </row>
    <row r="15" spans="1:18" x14ac:dyDescent="0.3">
      <c r="A15" s="41" t="s">
        <v>70</v>
      </c>
      <c r="B15" s="5"/>
      <c r="C15" s="6">
        <f>SUM(C14)*25%</f>
        <v>0</v>
      </c>
      <c r="D15" s="5"/>
      <c r="E15" s="6">
        <f>SUM(E14)*25%</f>
        <v>0</v>
      </c>
      <c r="F15" s="6">
        <f>SUM(F14)*25%</f>
        <v>248.75</v>
      </c>
      <c r="G15" s="5"/>
      <c r="H15" s="6">
        <f>SUM(H14)*25%</f>
        <v>130</v>
      </c>
      <c r="I15" s="6">
        <f>SUM(I14)*25%</f>
        <v>250</v>
      </c>
      <c r="J15" s="5"/>
      <c r="K15" s="6">
        <f>SUM(K14)*25%</f>
        <v>985</v>
      </c>
      <c r="L15" s="6">
        <f>SUM(L14)*25%</f>
        <v>2.5</v>
      </c>
      <c r="M15" s="5"/>
      <c r="N15" s="6">
        <f>SUM(N14)*25%</f>
        <v>987.5</v>
      </c>
      <c r="O15" s="6">
        <f>SUM(O14)*25%</f>
        <v>0</v>
      </c>
      <c r="P15" s="5"/>
      <c r="Q15" s="6">
        <f>SUM(Q14)*25%</f>
        <v>987.5</v>
      </c>
      <c r="R15" s="5"/>
    </row>
    <row r="16" spans="1:18" x14ac:dyDescent="0.3">
      <c r="A16" s="41" t="s">
        <v>9</v>
      </c>
      <c r="B16" s="5"/>
      <c r="C16" s="6">
        <f>C14-C15</f>
        <v>0</v>
      </c>
      <c r="D16" s="5"/>
      <c r="E16" s="6">
        <f>E14-E15</f>
        <v>0</v>
      </c>
      <c r="F16" s="6">
        <f>F14-F15</f>
        <v>746.25</v>
      </c>
      <c r="G16" s="5"/>
      <c r="H16" s="6">
        <f>H14-H15</f>
        <v>390</v>
      </c>
      <c r="I16" s="6">
        <f>I14-I15</f>
        <v>750</v>
      </c>
      <c r="J16" s="5"/>
      <c r="K16" s="6">
        <f>K14-K15</f>
        <v>2955</v>
      </c>
      <c r="L16" s="6">
        <f>L14-L15</f>
        <v>7.5</v>
      </c>
      <c r="M16" s="5"/>
      <c r="N16" s="6">
        <f>N14-N15</f>
        <v>2962.5</v>
      </c>
      <c r="O16" s="6">
        <f>O14-O15</f>
        <v>0</v>
      </c>
      <c r="P16" s="5"/>
      <c r="Q16" s="6">
        <f>Q14-Q15</f>
        <v>2962.5</v>
      </c>
      <c r="R16" s="5"/>
    </row>
    <row r="17" spans="1:18" x14ac:dyDescent="0.3">
      <c r="A17" s="40" t="s">
        <v>25</v>
      </c>
      <c r="B17" s="5"/>
      <c r="C17" s="11">
        <f>SUM(C7-C11-C14)</f>
        <v>0</v>
      </c>
      <c r="D17" s="5"/>
      <c r="E17" s="11">
        <f>SUM(E7-E11-E14)</f>
        <v>0</v>
      </c>
      <c r="F17" s="11">
        <f>SUM(F7-F11-F14)</f>
        <v>0</v>
      </c>
      <c r="G17" s="5"/>
      <c r="H17" s="11">
        <f>SUM(H7-H11-H14)</f>
        <v>0</v>
      </c>
      <c r="I17" s="11">
        <f>SUM(I7-I11-I14)</f>
        <v>0</v>
      </c>
      <c r="J17" s="5"/>
      <c r="K17" s="11">
        <f>SUM(K7-K11-K14)</f>
        <v>0</v>
      </c>
      <c r="L17" s="11">
        <f>SUM(L7-L11-L14)</f>
        <v>2680</v>
      </c>
      <c r="M17" s="5"/>
      <c r="N17" s="11">
        <f>SUM(N7-N11-N14)</f>
        <v>570</v>
      </c>
      <c r="O17" s="11">
        <f>SUM(O7-O11-O14)</f>
        <v>2690</v>
      </c>
      <c r="P17" s="5"/>
      <c r="Q17" s="11">
        <f>SUM(Q7-Q11-Q14)</f>
        <v>1260</v>
      </c>
      <c r="R17" s="5"/>
    </row>
    <row r="18" spans="1:18" x14ac:dyDescent="0.3">
      <c r="A18" s="40" t="s">
        <v>43</v>
      </c>
      <c r="B18" s="5"/>
      <c r="C18" s="11">
        <f>7050-C9-C12-C15</f>
        <v>6610</v>
      </c>
      <c r="D18" s="5"/>
      <c r="E18" s="11">
        <f>7050-E9-E12-E15</f>
        <v>6575</v>
      </c>
      <c r="F18" s="11">
        <f>7050-F9-F12-F15</f>
        <v>6786.25</v>
      </c>
      <c r="G18" s="5"/>
      <c r="H18" s="11">
        <f>7050-H9-H12-H15</f>
        <v>6440</v>
      </c>
      <c r="I18" s="11">
        <f>7050-I9-I12-I15</f>
        <v>6790</v>
      </c>
      <c r="J18" s="5"/>
      <c r="K18" s="11">
        <f>7050-K9-K12-K15</f>
        <v>5585</v>
      </c>
      <c r="L18" s="11">
        <f>7050-L9-L12-L15</f>
        <v>7037.5</v>
      </c>
      <c r="M18" s="5"/>
      <c r="N18" s="11">
        <f>7050-N9-N12-N15</f>
        <v>5582.5</v>
      </c>
      <c r="O18" s="11">
        <f>7050-O9-O12-O15</f>
        <v>6641</v>
      </c>
      <c r="P18" s="5"/>
      <c r="Q18" s="11">
        <f>7050-Q9-Q12-Q15</f>
        <v>5582.5</v>
      </c>
      <c r="R18" s="5"/>
    </row>
    <row r="19" spans="1:18" x14ac:dyDescent="0.3">
      <c r="A19" s="40" t="s">
        <v>22</v>
      </c>
      <c r="B19" s="5"/>
      <c r="C19" s="11">
        <f>IF(C17=0,0,MIN(C17,C18/95%))</f>
        <v>0</v>
      </c>
      <c r="D19" s="5"/>
      <c r="E19" s="11">
        <f>IF(E17=0,0,MIN(E17,E18/95%))</f>
        <v>0</v>
      </c>
      <c r="F19" s="11">
        <f>IF(F17=0,0,MIN(F17,F18/95%))</f>
        <v>0</v>
      </c>
      <c r="G19" s="5"/>
      <c r="H19" s="11">
        <f>IF(H17=0,0,MIN(H17,H18/95%))</f>
        <v>0</v>
      </c>
      <c r="I19" s="11">
        <f>IF(I17=0,0,MIN(I17,I18/95%))</f>
        <v>0</v>
      </c>
      <c r="J19" s="5"/>
      <c r="K19" s="11">
        <f>IF(K17=0,0,MIN(K17,K18/95%))</f>
        <v>0</v>
      </c>
      <c r="L19" s="11">
        <f>IF(L17=0,0,MIN(L17,L18/95%))</f>
        <v>2680</v>
      </c>
      <c r="M19" s="5"/>
      <c r="N19" s="11">
        <f>IF(N17=0,0,MIN(N17,N18/95%))</f>
        <v>570</v>
      </c>
      <c r="O19" s="11">
        <f>IF(O17=0,0,MIN(O17,O18/95%))</f>
        <v>2690</v>
      </c>
      <c r="P19" s="5"/>
      <c r="Q19" s="11">
        <f>IF(Q17=0,0,MIN(Q17,Q18/95%))</f>
        <v>1260</v>
      </c>
      <c r="R19" s="5"/>
    </row>
    <row r="20" spans="1:18" x14ac:dyDescent="0.3">
      <c r="A20" s="40" t="s">
        <v>24</v>
      </c>
      <c r="B20" s="5"/>
      <c r="C20" s="11">
        <f>C19</f>
        <v>0</v>
      </c>
      <c r="D20" s="5"/>
      <c r="E20" s="11">
        <f>E19</f>
        <v>0</v>
      </c>
      <c r="F20" s="11">
        <f>F19</f>
        <v>0</v>
      </c>
      <c r="G20" s="5"/>
      <c r="H20" s="11">
        <f>H19</f>
        <v>0</v>
      </c>
      <c r="I20" s="11">
        <f>I19</f>
        <v>0</v>
      </c>
      <c r="J20" s="5"/>
      <c r="K20" s="11">
        <f>K19</f>
        <v>0</v>
      </c>
      <c r="L20" s="11">
        <f>L19</f>
        <v>2680</v>
      </c>
      <c r="M20" s="5"/>
      <c r="N20" s="11">
        <f>N19</f>
        <v>570</v>
      </c>
      <c r="O20" s="11">
        <f>O19</f>
        <v>2690</v>
      </c>
      <c r="P20" s="5"/>
      <c r="Q20" s="11">
        <f>Q19</f>
        <v>1260</v>
      </c>
      <c r="R20" s="5"/>
    </row>
    <row r="21" spans="1:18" x14ac:dyDescent="0.3">
      <c r="A21" s="41" t="s">
        <v>73</v>
      </c>
      <c r="B21" s="5"/>
      <c r="C21" s="6">
        <f>C19*95%-C22</f>
        <v>0</v>
      </c>
      <c r="D21" s="5"/>
      <c r="E21" s="6">
        <f>E19*95%-E22</f>
        <v>0</v>
      </c>
      <c r="F21" s="6">
        <f>F19*95%-F22</f>
        <v>0</v>
      </c>
      <c r="G21" s="5"/>
      <c r="H21" s="6">
        <f>H19*95%-H22</f>
        <v>0</v>
      </c>
      <c r="I21" s="6">
        <f>I19*95%-I22</f>
        <v>0</v>
      </c>
      <c r="J21" s="5"/>
      <c r="K21" s="6">
        <f>K19*95%-K22</f>
        <v>0</v>
      </c>
      <c r="L21" s="6">
        <f>L19*95%-L22</f>
        <v>670</v>
      </c>
      <c r="M21" s="5"/>
      <c r="N21" s="6">
        <f>N19*95%-N22</f>
        <v>142.5</v>
      </c>
      <c r="O21" s="6">
        <f>O19*95%-O22</f>
        <v>672.5</v>
      </c>
      <c r="P21" s="5"/>
      <c r="Q21" s="6">
        <f>Q19*95%-Q22</f>
        <v>315</v>
      </c>
      <c r="R21" s="5"/>
    </row>
    <row r="22" spans="1:18" x14ac:dyDescent="0.3">
      <c r="A22" s="41" t="s">
        <v>71</v>
      </c>
      <c r="B22" s="5"/>
      <c r="C22" s="6">
        <f>C20*70%</f>
        <v>0</v>
      </c>
      <c r="D22" s="5"/>
      <c r="E22" s="6">
        <f>E20*70%</f>
        <v>0</v>
      </c>
      <c r="F22" s="6">
        <f>F20*70%</f>
        <v>0</v>
      </c>
      <c r="G22" s="5"/>
      <c r="H22" s="6">
        <f>H20*70%</f>
        <v>0</v>
      </c>
      <c r="I22" s="6">
        <f>I20*70%</f>
        <v>0</v>
      </c>
      <c r="J22" s="5"/>
      <c r="K22" s="6">
        <f>K20*70%</f>
        <v>0</v>
      </c>
      <c r="L22" s="6">
        <f>L20*70%</f>
        <v>1876</v>
      </c>
      <c r="M22" s="5"/>
      <c r="N22" s="6">
        <f>N20*70%</f>
        <v>399</v>
      </c>
      <c r="O22" s="6">
        <f>O20*70%</f>
        <v>1883</v>
      </c>
      <c r="P22" s="5"/>
      <c r="Q22" s="6">
        <f>Q20*70%</f>
        <v>882</v>
      </c>
      <c r="R22" s="5"/>
    </row>
    <row r="23" spans="1:18" x14ac:dyDescent="0.3">
      <c r="A23" s="41" t="s">
        <v>12</v>
      </c>
      <c r="B23" s="5"/>
      <c r="C23" s="6">
        <f>SUM(C19-C21-C22)</f>
        <v>0</v>
      </c>
      <c r="D23" s="5"/>
      <c r="E23" s="6">
        <f>SUM(E19-E21-E22)</f>
        <v>0</v>
      </c>
      <c r="F23" s="6">
        <f>SUM(F19-F21-F22)</f>
        <v>0</v>
      </c>
      <c r="G23" s="5"/>
      <c r="H23" s="6">
        <f>SUM(H19-H21-H22)</f>
        <v>0</v>
      </c>
      <c r="I23" s="6">
        <f>SUM(I19-I21-I22)</f>
        <v>0</v>
      </c>
      <c r="J23" s="5"/>
      <c r="K23" s="6">
        <f>SUM(K19-K21-K22)</f>
        <v>0</v>
      </c>
      <c r="L23" s="6">
        <f>SUM(L19-L21-L22)</f>
        <v>134</v>
      </c>
      <c r="M23" s="5"/>
      <c r="N23" s="6">
        <f>SUM(N19-N21-N22)</f>
        <v>28.5</v>
      </c>
      <c r="O23" s="6">
        <f>SUM(O19-O21-O22)</f>
        <v>134.5</v>
      </c>
      <c r="P23" s="5"/>
      <c r="Q23" s="6">
        <f>SUM(Q19-Q21-Q22)</f>
        <v>63</v>
      </c>
      <c r="R23" s="5"/>
    </row>
    <row r="24" spans="1:18" x14ac:dyDescent="0.3">
      <c r="A24" s="40" t="s">
        <v>23</v>
      </c>
      <c r="B24" s="5"/>
      <c r="C24" s="11">
        <f>SUM(C6-C11-C14-C19)</f>
        <v>0</v>
      </c>
      <c r="D24" s="5"/>
      <c r="E24" s="11">
        <f>SUM(E6-E11-E14-E19)</f>
        <v>0</v>
      </c>
      <c r="F24" s="11">
        <f>SUM(F6-F11-F14-F19)</f>
        <v>0</v>
      </c>
      <c r="G24" s="5"/>
      <c r="H24" s="11">
        <f>SUM(H6-H11-H14-H19)</f>
        <v>0</v>
      </c>
      <c r="I24" s="11">
        <f>SUM(I6-I11-I14-I19)</f>
        <v>0</v>
      </c>
      <c r="J24" s="5"/>
      <c r="K24" s="11">
        <f>SUM(K6-K11-K14-K19)</f>
        <v>0</v>
      </c>
      <c r="L24" s="11">
        <f>SUM(L6-L11-L14-L19)</f>
        <v>0</v>
      </c>
      <c r="M24" s="5"/>
      <c r="N24" s="11">
        <f>SUM(N6-N11-N14-N19)</f>
        <v>0</v>
      </c>
      <c r="O24" s="11">
        <f>SUM(O6-O11-O14-O19)</f>
        <v>0</v>
      </c>
      <c r="P24" s="5"/>
      <c r="Q24" s="11">
        <f>SUM(Q6-Q11-Q14-Q19)</f>
        <v>0</v>
      </c>
      <c r="R24" s="5"/>
    </row>
    <row r="25" spans="1:18" x14ac:dyDescent="0.3">
      <c r="A25" s="41" t="s">
        <v>72</v>
      </c>
      <c r="B25" s="5"/>
      <c r="C25" s="6">
        <f>IF(C24=0,0,MAX(C24*5%,9.85))</f>
        <v>0</v>
      </c>
      <c r="D25" s="5"/>
      <c r="E25" s="6">
        <f>IF(E24=0,0,MAX(E24*5%,9.85))</f>
        <v>0</v>
      </c>
      <c r="F25" s="6">
        <f>IF(F24=0,0,MAX(F24*5%,9.85))</f>
        <v>0</v>
      </c>
      <c r="G25" s="5"/>
      <c r="H25" s="6">
        <f>IF(H24=0,0,MAX(H24*5%,9.85))</f>
        <v>0</v>
      </c>
      <c r="I25" s="6">
        <f>IF(I24=0,0,MAX(I24*5%,9.85))</f>
        <v>0</v>
      </c>
      <c r="J25" s="5"/>
      <c r="K25" s="6">
        <f>IF(K24=0,0,MAX(K24*5%,9.85))</f>
        <v>0</v>
      </c>
      <c r="L25" s="6">
        <f>IF(L24=0,0,MAX(L24*5%,9.85))</f>
        <v>0</v>
      </c>
      <c r="M25" s="5"/>
      <c r="N25" s="6">
        <f>IF(N24=0,0,MAX(N24*5%,9.85))</f>
        <v>0</v>
      </c>
      <c r="O25" s="6">
        <f>IF(O24=0,0,MAX(O24*5%,9.85))</f>
        <v>0</v>
      </c>
      <c r="P25" s="5"/>
      <c r="Q25" s="6">
        <f>IF(Q24=0,0,MAX(Q24*5%,9.85))</f>
        <v>0</v>
      </c>
      <c r="R25" s="5"/>
    </row>
    <row r="26" spans="1:18" x14ac:dyDescent="0.3">
      <c r="A26" s="41" t="s">
        <v>16</v>
      </c>
      <c r="B26" s="5"/>
      <c r="C26" s="6">
        <f>SUM(C24-C25)</f>
        <v>0</v>
      </c>
      <c r="D26" s="5"/>
      <c r="E26" s="6">
        <f>SUM(E24-E25)</f>
        <v>0</v>
      </c>
      <c r="F26" s="6">
        <f>SUM(F24-F25)</f>
        <v>0</v>
      </c>
      <c r="G26" s="5"/>
      <c r="H26" s="6">
        <f>SUM(H24-H25)</f>
        <v>0</v>
      </c>
      <c r="I26" s="6">
        <f>SUM(I24-I25)</f>
        <v>0</v>
      </c>
      <c r="J26" s="5"/>
      <c r="K26" s="6">
        <f>SUM(K24-K25)</f>
        <v>0</v>
      </c>
      <c r="L26" s="6">
        <f>SUM(L24-L25)</f>
        <v>0</v>
      </c>
      <c r="M26" s="5"/>
      <c r="N26" s="6">
        <f>SUM(N24-N25)</f>
        <v>0</v>
      </c>
      <c r="O26" s="6">
        <f>SUM(O24-O25)</f>
        <v>0</v>
      </c>
      <c r="P26" s="5"/>
      <c r="Q26" s="6">
        <f>SUM(Q24-Q25)</f>
        <v>0</v>
      </c>
      <c r="R26" s="5"/>
    </row>
    <row r="27" spans="1:18" x14ac:dyDescent="0.3">
      <c r="A27" s="40" t="s">
        <v>26</v>
      </c>
      <c r="B27" s="5"/>
      <c r="C27" s="11">
        <v>0</v>
      </c>
      <c r="D27" s="5"/>
      <c r="E27" s="11">
        <v>0</v>
      </c>
      <c r="F27" s="11">
        <v>0</v>
      </c>
      <c r="G27" s="5"/>
      <c r="H27" s="11">
        <v>0</v>
      </c>
      <c r="I27" s="11">
        <v>0</v>
      </c>
      <c r="J27" s="5"/>
      <c r="K27" s="11">
        <v>0</v>
      </c>
      <c r="L27" s="11">
        <v>0</v>
      </c>
      <c r="M27" s="5"/>
      <c r="N27" s="11">
        <v>0</v>
      </c>
      <c r="O27" s="11">
        <v>0</v>
      </c>
      <c r="P27" s="5"/>
      <c r="Q27" s="11">
        <v>0</v>
      </c>
      <c r="R27" s="5"/>
    </row>
    <row r="28" spans="1:18" x14ac:dyDescent="0.3">
      <c r="A28" s="41" t="s">
        <v>46</v>
      </c>
      <c r="B28" s="5"/>
      <c r="C28" s="6">
        <f>MIN(50%*C11,C2)</f>
        <v>10</v>
      </c>
      <c r="D28" s="5"/>
      <c r="E28" s="6">
        <f>MIN(50%*E11,E2)</f>
        <v>10</v>
      </c>
      <c r="F28" s="6">
        <v>5</v>
      </c>
      <c r="G28" s="5"/>
      <c r="H28" s="6">
        <f>MIN(50%*H11,H2)</f>
        <v>10</v>
      </c>
      <c r="I28" s="6">
        <f>MIN(50%*I11,I2)</f>
        <v>0</v>
      </c>
      <c r="J28" s="5"/>
      <c r="K28" s="6">
        <f>MIN(50%*K11,K2)</f>
        <v>10</v>
      </c>
      <c r="L28" s="6">
        <f>MIN(50%*L11,L2)</f>
        <v>0</v>
      </c>
      <c r="M28" s="5"/>
      <c r="N28" s="6">
        <f>MIN(50%*N11,N2)</f>
        <v>10</v>
      </c>
      <c r="O28" s="6">
        <f>MIN(50%*O11,O2)</f>
        <v>0</v>
      </c>
      <c r="P28" s="5"/>
      <c r="Q28" s="6">
        <f>MIN(50%*Q11,Q2)</f>
        <v>10</v>
      </c>
      <c r="R28" s="5"/>
    </row>
    <row r="29" spans="1:18" x14ac:dyDescent="0.3">
      <c r="A29" s="41" t="s">
        <v>47</v>
      </c>
      <c r="B29" s="5"/>
      <c r="C29" s="6">
        <v>0</v>
      </c>
      <c r="D29" s="5"/>
      <c r="E29" s="6">
        <v>0</v>
      </c>
      <c r="F29" s="6">
        <v>5</v>
      </c>
      <c r="G29" s="5"/>
      <c r="H29" s="6">
        <v>0</v>
      </c>
      <c r="I29" s="6">
        <f>MIN(I6*25%,I3)</f>
        <v>20</v>
      </c>
      <c r="J29" s="5"/>
      <c r="K29" s="6">
        <v>0</v>
      </c>
      <c r="L29" s="6">
        <v>10</v>
      </c>
      <c r="M29" s="5"/>
      <c r="N29" s="6">
        <v>0</v>
      </c>
      <c r="O29" s="6">
        <f>MIN(O14*25%,O3-O28)</f>
        <v>0</v>
      </c>
      <c r="P29" s="5"/>
      <c r="Q29" s="6">
        <v>0</v>
      </c>
      <c r="R29" s="5"/>
    </row>
    <row r="30" spans="1:18" x14ac:dyDescent="0.3">
      <c r="A30" s="41" t="s">
        <v>35</v>
      </c>
      <c r="B30" s="5"/>
      <c r="C30" s="6">
        <v>0</v>
      </c>
      <c r="D30" s="5"/>
      <c r="E30" s="6">
        <v>0</v>
      </c>
      <c r="F30" s="6">
        <v>0</v>
      </c>
      <c r="G30" s="5"/>
      <c r="H30" s="6">
        <v>0</v>
      </c>
      <c r="I30" s="6">
        <v>0</v>
      </c>
      <c r="J30" s="5"/>
      <c r="K30" s="6">
        <v>0</v>
      </c>
      <c r="L30" s="6">
        <v>10</v>
      </c>
      <c r="M30" s="5"/>
      <c r="N30" s="6">
        <v>0</v>
      </c>
      <c r="O30" s="6">
        <f>MIN((O6-O29)*25%,O4)</f>
        <v>30</v>
      </c>
      <c r="P30" s="5"/>
      <c r="Q30" s="6">
        <v>0</v>
      </c>
      <c r="R30" s="5"/>
    </row>
    <row r="31" spans="1:18" x14ac:dyDescent="0.3">
      <c r="A31" s="41" t="s">
        <v>28</v>
      </c>
      <c r="B31" s="5"/>
      <c r="C31" s="6">
        <f>MIN(C25,5)</f>
        <v>0</v>
      </c>
      <c r="D31" s="5"/>
      <c r="E31" s="6">
        <f>MIN(E25,5)</f>
        <v>0</v>
      </c>
      <c r="F31" s="6">
        <f>MIN(F25,5)</f>
        <v>0</v>
      </c>
      <c r="G31" s="5"/>
      <c r="H31" s="6">
        <f>MIN(H25,5)</f>
        <v>0</v>
      </c>
      <c r="I31" s="6">
        <f>MIN(I25,5)</f>
        <v>0</v>
      </c>
      <c r="J31" s="5"/>
      <c r="K31" s="6">
        <f>MIN(K25,5)</f>
        <v>0</v>
      </c>
      <c r="L31" s="6">
        <f>MIN(L25,5)</f>
        <v>0</v>
      </c>
      <c r="M31" s="5"/>
      <c r="N31" s="6">
        <f>MIN(N25,5)</f>
        <v>0</v>
      </c>
      <c r="O31" s="6">
        <f>MIN(O25,5)</f>
        <v>0</v>
      </c>
      <c r="P31" s="5"/>
      <c r="Q31" s="6">
        <f>MIN(Q25,5)</f>
        <v>0</v>
      </c>
      <c r="R31" s="5"/>
    </row>
    <row r="32" spans="1:18" x14ac:dyDescent="0.3">
      <c r="A32" s="39" t="s">
        <v>36</v>
      </c>
      <c r="B32" s="5"/>
      <c r="C32" s="10"/>
      <c r="D32" s="5"/>
      <c r="E32" s="10"/>
      <c r="F32" s="10"/>
      <c r="G32" s="5"/>
      <c r="H32" s="10"/>
      <c r="I32" s="10"/>
      <c r="J32" s="5"/>
      <c r="K32" s="10"/>
      <c r="L32" s="10"/>
      <c r="M32" s="5"/>
      <c r="N32" s="10"/>
      <c r="O32" s="10"/>
      <c r="P32" s="5"/>
      <c r="Q32" s="10"/>
      <c r="R32" s="5"/>
    </row>
    <row r="33" spans="1:18" x14ac:dyDescent="0.3">
      <c r="A33" s="41" t="s">
        <v>14</v>
      </c>
      <c r="B33" s="5"/>
      <c r="C33" s="6">
        <f>C28</f>
        <v>10</v>
      </c>
      <c r="D33" s="5"/>
      <c r="E33" s="6">
        <f>E28</f>
        <v>10</v>
      </c>
      <c r="F33" s="6">
        <f>F28</f>
        <v>5</v>
      </c>
      <c r="G33" s="5"/>
      <c r="H33" s="6">
        <f>H28</f>
        <v>10</v>
      </c>
      <c r="I33" s="6">
        <f>I28</f>
        <v>0</v>
      </c>
      <c r="J33" s="5"/>
      <c r="K33" s="6">
        <f>K28</f>
        <v>10</v>
      </c>
      <c r="L33" s="6">
        <f>L28</f>
        <v>0</v>
      </c>
      <c r="M33" s="5"/>
      <c r="N33" s="6">
        <f>N28</f>
        <v>10</v>
      </c>
      <c r="O33" s="6">
        <f>O28</f>
        <v>0</v>
      </c>
      <c r="P33" s="5"/>
      <c r="Q33" s="6">
        <f>Q28</f>
        <v>10</v>
      </c>
      <c r="R33" s="5"/>
    </row>
    <row r="34" spans="1:18" x14ac:dyDescent="0.3">
      <c r="A34" s="41" t="s">
        <v>15</v>
      </c>
      <c r="B34" s="5"/>
      <c r="C34" s="6">
        <f>C13</f>
        <v>0</v>
      </c>
      <c r="D34" s="5"/>
      <c r="E34" s="6">
        <f>E13</f>
        <v>0</v>
      </c>
      <c r="F34" s="6">
        <f>F13</f>
        <v>0</v>
      </c>
      <c r="G34" s="5"/>
      <c r="H34" s="6">
        <f>H13</f>
        <v>0</v>
      </c>
      <c r="I34" s="6">
        <f>I13</f>
        <v>0</v>
      </c>
      <c r="J34" s="5"/>
      <c r="K34" s="6">
        <f>K13</f>
        <v>0</v>
      </c>
      <c r="L34" s="6">
        <f>L13</f>
        <v>0</v>
      </c>
      <c r="M34" s="5"/>
      <c r="N34" s="6">
        <f>N13</f>
        <v>0</v>
      </c>
      <c r="O34" s="6">
        <f>O13</f>
        <v>0</v>
      </c>
      <c r="P34" s="5"/>
      <c r="Q34" s="6">
        <f>Q13</f>
        <v>0</v>
      </c>
      <c r="R34" s="5"/>
    </row>
    <row r="35" spans="1:18" x14ac:dyDescent="0.3">
      <c r="A35" s="41" t="s">
        <v>99</v>
      </c>
      <c r="B35" s="5"/>
      <c r="C35" s="6">
        <f>C12-C28</f>
        <v>430</v>
      </c>
      <c r="D35" s="5"/>
      <c r="E35" s="6">
        <f>E12-E28</f>
        <v>465</v>
      </c>
      <c r="F35" s="6">
        <f>F12-F28</f>
        <v>0</v>
      </c>
      <c r="G35" s="5"/>
      <c r="H35" s="6">
        <f>H12-H28</f>
        <v>470</v>
      </c>
      <c r="I35" s="6">
        <f>I12-I28</f>
        <v>0</v>
      </c>
      <c r="J35" s="5"/>
      <c r="K35" s="6">
        <f>K12-K28</f>
        <v>470</v>
      </c>
      <c r="L35" s="6">
        <f>L12-L28</f>
        <v>0</v>
      </c>
      <c r="M35" s="5"/>
      <c r="N35" s="6">
        <f>N12-N28</f>
        <v>470</v>
      </c>
      <c r="O35" s="6">
        <f>O12-O28</f>
        <v>0</v>
      </c>
      <c r="P35" s="5"/>
      <c r="Q35" s="6">
        <f>Q12-Q28</f>
        <v>470</v>
      </c>
      <c r="R35" s="5"/>
    </row>
    <row r="36" spans="1:18" x14ac:dyDescent="0.3">
      <c r="A36" s="41" t="s">
        <v>100</v>
      </c>
      <c r="B36" s="5"/>
      <c r="C36" s="6">
        <f>C29</f>
        <v>0</v>
      </c>
      <c r="D36" s="5"/>
      <c r="E36" s="6">
        <f>E29</f>
        <v>0</v>
      </c>
      <c r="F36" s="6">
        <f>F29</f>
        <v>5</v>
      </c>
      <c r="G36" s="5"/>
      <c r="H36" s="6">
        <f>H29</f>
        <v>0</v>
      </c>
      <c r="I36" s="6">
        <f>I29</f>
        <v>20</v>
      </c>
      <c r="J36" s="5"/>
      <c r="K36" s="6">
        <f>K29</f>
        <v>0</v>
      </c>
      <c r="L36" s="6">
        <f>L29</f>
        <v>10</v>
      </c>
      <c r="M36" s="5"/>
      <c r="N36" s="6">
        <f>N29</f>
        <v>0</v>
      </c>
      <c r="O36" s="6">
        <f>O29</f>
        <v>0</v>
      </c>
      <c r="P36" s="5"/>
      <c r="Q36" s="6">
        <f>Q29</f>
        <v>0</v>
      </c>
      <c r="R36" s="5"/>
    </row>
    <row r="37" spans="1:18" x14ac:dyDescent="0.3">
      <c r="A37" s="41" t="s">
        <v>101</v>
      </c>
      <c r="B37" s="5"/>
      <c r="C37" s="6">
        <f>C16</f>
        <v>0</v>
      </c>
      <c r="D37" s="5"/>
      <c r="E37" s="6">
        <f>E16</f>
        <v>0</v>
      </c>
      <c r="F37" s="6">
        <f>F16</f>
        <v>746.25</v>
      </c>
      <c r="G37" s="5"/>
      <c r="H37" s="6">
        <f>H16</f>
        <v>390</v>
      </c>
      <c r="I37" s="6">
        <f>I16</f>
        <v>750</v>
      </c>
      <c r="J37" s="5"/>
      <c r="K37" s="6">
        <f>K16</f>
        <v>2955</v>
      </c>
      <c r="L37" s="6">
        <f>L16</f>
        <v>7.5</v>
      </c>
      <c r="M37" s="5"/>
      <c r="N37" s="6">
        <f>N16</f>
        <v>2962.5</v>
      </c>
      <c r="O37" s="6">
        <f>O16</f>
        <v>0</v>
      </c>
      <c r="P37" s="5"/>
      <c r="Q37" s="6">
        <f>Q16</f>
        <v>2962.5</v>
      </c>
      <c r="R37" s="5"/>
    </row>
    <row r="38" spans="1:18" x14ac:dyDescent="0.3">
      <c r="A38" s="41" t="s">
        <v>102</v>
      </c>
      <c r="B38" s="5"/>
      <c r="C38" s="6">
        <f>C15-C29</f>
        <v>0</v>
      </c>
      <c r="D38" s="5"/>
      <c r="E38" s="6">
        <f>E15-E29</f>
        <v>0</v>
      </c>
      <c r="F38" s="6">
        <f>F15-F29</f>
        <v>243.75</v>
      </c>
      <c r="G38" s="5"/>
      <c r="H38" s="6">
        <f>H15-H29</f>
        <v>130</v>
      </c>
      <c r="I38" s="6">
        <f>I15-I29</f>
        <v>230</v>
      </c>
      <c r="J38" s="5"/>
      <c r="K38" s="6">
        <f>K15-K29</f>
        <v>985</v>
      </c>
      <c r="L38" s="6">
        <f>L15-L29</f>
        <v>-7.5</v>
      </c>
      <c r="M38" s="5"/>
      <c r="N38" s="6">
        <f>N15-N29</f>
        <v>987.5</v>
      </c>
      <c r="O38" s="6">
        <f>O15-O29</f>
        <v>0</v>
      </c>
      <c r="P38" s="5"/>
      <c r="Q38" s="6">
        <f>Q15-Q29</f>
        <v>987.5</v>
      </c>
      <c r="R38" s="5"/>
    </row>
    <row r="39" spans="1:18" x14ac:dyDescent="0.3">
      <c r="A39" s="41" t="s">
        <v>103</v>
      </c>
      <c r="B39" s="5"/>
      <c r="C39" s="6">
        <f>C22+C30</f>
        <v>0</v>
      </c>
      <c r="D39" s="5"/>
      <c r="E39" s="6">
        <f>E22+E30</f>
        <v>0</v>
      </c>
      <c r="F39" s="6">
        <f>F22+F30</f>
        <v>0</v>
      </c>
      <c r="G39" s="5"/>
      <c r="H39" s="6">
        <f>H22+H30</f>
        <v>0</v>
      </c>
      <c r="I39" s="6">
        <f>I22+I30</f>
        <v>0</v>
      </c>
      <c r="J39" s="5"/>
      <c r="K39" s="6">
        <f>K22+K30</f>
        <v>0</v>
      </c>
      <c r="L39" s="6">
        <f>L22+L30</f>
        <v>1886</v>
      </c>
      <c r="M39" s="5"/>
      <c r="N39" s="6">
        <f>N22+N30</f>
        <v>399</v>
      </c>
      <c r="O39" s="6">
        <f>O22+O30</f>
        <v>1913</v>
      </c>
      <c r="P39" s="5"/>
      <c r="Q39" s="6">
        <f>Q22+Q30</f>
        <v>882</v>
      </c>
      <c r="R39" s="5"/>
    </row>
    <row r="40" spans="1:18" x14ac:dyDescent="0.3">
      <c r="A40" s="41" t="s">
        <v>104</v>
      </c>
      <c r="B40" s="5"/>
      <c r="C40" s="6">
        <f>C23</f>
        <v>0</v>
      </c>
      <c r="D40" s="5"/>
      <c r="E40" s="6">
        <f>E23</f>
        <v>0</v>
      </c>
      <c r="F40" s="6">
        <f>F23</f>
        <v>0</v>
      </c>
      <c r="G40" s="5"/>
      <c r="H40" s="6">
        <f>H23</f>
        <v>0</v>
      </c>
      <c r="I40" s="6">
        <f>I23</f>
        <v>0</v>
      </c>
      <c r="J40" s="5"/>
      <c r="K40" s="6">
        <f>K23</f>
        <v>0</v>
      </c>
      <c r="L40" s="6">
        <f>L23</f>
        <v>134</v>
      </c>
      <c r="M40" s="5"/>
      <c r="N40" s="6">
        <f>N23</f>
        <v>28.5</v>
      </c>
      <c r="O40" s="6">
        <f>O23</f>
        <v>134.5</v>
      </c>
      <c r="P40" s="5"/>
      <c r="Q40" s="6">
        <f>Q23</f>
        <v>63</v>
      </c>
      <c r="R40" s="5"/>
    </row>
    <row r="41" spans="1:18" x14ac:dyDescent="0.3">
      <c r="A41" s="41" t="s">
        <v>105</v>
      </c>
      <c r="B41" s="5"/>
      <c r="C41" s="6">
        <f>IF(C9+C33+C36+C30+C22&lt;7050,C21-C30+C24,C21-C30)</f>
        <v>0</v>
      </c>
      <c r="D41" s="5"/>
      <c r="E41" s="6">
        <f>IF(E9+E33+E36+E30+E22&lt;7050,E21-E30+E24,E21-E30)</f>
        <v>0</v>
      </c>
      <c r="F41" s="6">
        <f>IF(F9+F33+F36+F30+F22&lt;7050,F21-F30+F24,F21-F30)</f>
        <v>0</v>
      </c>
      <c r="G41" s="5"/>
      <c r="H41" s="6">
        <f>IF(H9+H33+H36+H30+H22&lt;7050,H21-H30+H24,H21-H30)</f>
        <v>0</v>
      </c>
      <c r="I41" s="6">
        <f>IF(I9+I33+I36+I30+I22&lt;7050,I21-I30+I24,I21-I30)</f>
        <v>0</v>
      </c>
      <c r="J41" s="5"/>
      <c r="K41" s="6">
        <f>IF(K9+K33+K36+K30+K22&lt;7050,K21-K30+K24,K21-K30)</f>
        <v>0</v>
      </c>
      <c r="L41" s="6">
        <f>IF(L9+L33+L36+L30+L22&lt;7050,L21-L30+L24,L21-L30)</f>
        <v>660</v>
      </c>
      <c r="M41" s="5"/>
      <c r="N41" s="6">
        <f>IF(N9+N33+N36+N30+N22&lt;7050,N21-N30+N24,N21-N30)</f>
        <v>142.5</v>
      </c>
      <c r="O41" s="6">
        <f>IF(O9+O33+O36+O30+O22&lt;7050,O21-O30+O24,O21-O30)</f>
        <v>642.5</v>
      </c>
      <c r="P41" s="5"/>
      <c r="Q41" s="6">
        <f>IF(Q9+Q33+Q36+Q30+Q22&lt;7050,Q21-Q30+Q24,Q21-Q30)</f>
        <v>315</v>
      </c>
      <c r="R41" s="5"/>
    </row>
    <row r="42" spans="1:18" x14ac:dyDescent="0.3">
      <c r="A42" s="41" t="s">
        <v>106</v>
      </c>
      <c r="B42" s="5"/>
      <c r="C42" s="6">
        <f>IF(C9+C33+C36+C39&lt;7050,0,C31)</f>
        <v>0</v>
      </c>
      <c r="D42" s="5"/>
      <c r="E42" s="6">
        <f>IF(E9+E33+E36+E39&lt;7050,0,E31)</f>
        <v>0</v>
      </c>
      <c r="F42" s="6">
        <f>IF(F9+F33+F36+F39&lt;7050,0,F31)</f>
        <v>0</v>
      </c>
      <c r="G42" s="5"/>
      <c r="H42" s="6">
        <f>IF(H9+H33+H36+H39&lt;7050,0,H31)</f>
        <v>0</v>
      </c>
      <c r="I42" s="6">
        <f>IF(I9+I33+I36+I39&lt;7050,0,I31)</f>
        <v>0</v>
      </c>
      <c r="J42" s="5"/>
      <c r="K42" s="6">
        <f>IF(K9+K33+K36+K39&lt;7050,0,K31)</f>
        <v>0</v>
      </c>
      <c r="L42" s="6">
        <f>IF(L9+L33+L36+L39&lt;7050,0,L31)</f>
        <v>0</v>
      </c>
      <c r="M42" s="5"/>
      <c r="N42" s="6">
        <f>IF(N9+N33+N36+N39&lt;7050,0,N31)</f>
        <v>0</v>
      </c>
      <c r="O42" s="6">
        <f>IF(O9+O33+O36+O39&lt;7050,0,O31)</f>
        <v>0</v>
      </c>
      <c r="P42" s="5"/>
      <c r="Q42" s="6">
        <f>IF(Q9+Q33+Q36+Q39&lt;7050,0,Q31)</f>
        <v>0</v>
      </c>
      <c r="R42" s="5"/>
    </row>
    <row r="43" spans="1:18" x14ac:dyDescent="0.3">
      <c r="A43" s="41" t="s">
        <v>107</v>
      </c>
      <c r="B43" s="5"/>
      <c r="C43" s="6">
        <f>IF(C9+C33+C36+C39&lt;7050,0,C26)</f>
        <v>0</v>
      </c>
      <c r="D43" s="5"/>
      <c r="E43" s="6">
        <f>IF(E9+E33+E36+E39&lt;7050,0,E26)</f>
        <v>0</v>
      </c>
      <c r="F43" s="6">
        <f>IF(F9+F33+F36+F39&lt;7050,0,F26)</f>
        <v>0</v>
      </c>
      <c r="G43" s="5"/>
      <c r="H43" s="6">
        <f>IF(H9+H33+H36+H39&lt;7050,0,H26)</f>
        <v>0</v>
      </c>
      <c r="I43" s="6">
        <f>IF(I9+I33+I36+I39&lt;7050,0,I26)</f>
        <v>0</v>
      </c>
      <c r="J43" s="5"/>
      <c r="K43" s="6">
        <f>IF(K9+K33+K36+K39&lt;7050,0,K26)</f>
        <v>0</v>
      </c>
      <c r="L43" s="6">
        <f>IF(L9+L33+L36+L39&lt;7050,0,L26)</f>
        <v>0</v>
      </c>
      <c r="M43" s="5"/>
      <c r="N43" s="6">
        <f>IF(N9+N33+N36+N39&lt;7050,0,N26)</f>
        <v>0</v>
      </c>
      <c r="O43" s="6">
        <f>IF(O9+O33+O36+O39&lt;7050,0,O26)</f>
        <v>0</v>
      </c>
      <c r="P43" s="5"/>
      <c r="Q43" s="6">
        <f>IF(Q9+Q33+Q36+Q39&lt;7050,0,Q26)</f>
        <v>0</v>
      </c>
      <c r="R43" s="5"/>
    </row>
    <row r="44" spans="1:18" x14ac:dyDescent="0.3">
      <c r="A44" s="41" t="s">
        <v>108</v>
      </c>
      <c r="B44" s="5"/>
      <c r="C44" s="6">
        <f>IF(C9+C33+C36+C39&lt;7050,0,C25-C31)</f>
        <v>0</v>
      </c>
      <c r="D44" s="5"/>
      <c r="E44" s="6">
        <f>IF(E9+E33+E36+E39&lt;7050,0,E25-E31)</f>
        <v>0</v>
      </c>
      <c r="F44" s="6">
        <f>IF(F9+F33+F36+F39&lt;7050,0,F25-F31)</f>
        <v>0</v>
      </c>
      <c r="G44" s="5"/>
      <c r="H44" s="6">
        <f>IF(H9+H33+H36+H39&lt;7050,0,H25-H31)</f>
        <v>0</v>
      </c>
      <c r="I44" s="6">
        <f>IF(I9+I33+I36+I39&lt;7050,0,I25-I31)</f>
        <v>0</v>
      </c>
      <c r="J44" s="5"/>
      <c r="K44" s="6">
        <f>IF(K9+K33+K36+K39&lt;7050,0,K25-K31)</f>
        <v>0</v>
      </c>
      <c r="L44" s="6">
        <f>IF(L9+L33+L36+L39&lt;7050,0,L25-L31)</f>
        <v>0</v>
      </c>
      <c r="M44" s="5"/>
      <c r="N44" s="6">
        <f>IF(N9+N33+N36+N39&lt;7050,0,N25-N31)</f>
        <v>0</v>
      </c>
      <c r="O44" s="6">
        <f>IF(O9+O33+O36+O39&lt;7050,0,O25-O31)</f>
        <v>0</v>
      </c>
      <c r="P44" s="5"/>
      <c r="Q44" s="6">
        <f>IF(Q9+Q33+Q36+Q39&lt;7050,0,Q25-Q31)</f>
        <v>0</v>
      </c>
      <c r="R44" s="5"/>
    </row>
    <row r="45" spans="1:18" x14ac:dyDescent="0.3">
      <c r="A45" s="39" t="s">
        <v>3</v>
      </c>
      <c r="B45" s="5"/>
      <c r="C45" s="10"/>
      <c r="D45" s="5"/>
      <c r="E45" s="10"/>
      <c r="F45" s="10"/>
      <c r="G45" s="5"/>
      <c r="H45" s="10"/>
      <c r="I45" s="10"/>
      <c r="J45" s="5"/>
      <c r="K45" s="10"/>
      <c r="L45" s="10"/>
      <c r="M45" s="5"/>
      <c r="N45" s="10"/>
      <c r="O45" s="10"/>
      <c r="P45" s="5"/>
      <c r="Q45" s="10"/>
      <c r="R45" s="5"/>
    </row>
    <row r="46" spans="1:18" x14ac:dyDescent="0.3">
      <c r="A46" s="43" t="s">
        <v>33</v>
      </c>
      <c r="B46" s="5"/>
      <c r="C46" s="9">
        <f>C33+C36+C39</f>
        <v>10</v>
      </c>
      <c r="D46" s="5"/>
      <c r="E46" s="9">
        <f>E33+E36+E39</f>
        <v>10</v>
      </c>
      <c r="F46" s="9">
        <f>F33+F36+F39</f>
        <v>10</v>
      </c>
      <c r="G46" s="5"/>
      <c r="H46" s="9">
        <f>H33+H36+H39</f>
        <v>10</v>
      </c>
      <c r="I46" s="9">
        <f>I33+I36+I39</f>
        <v>20</v>
      </c>
      <c r="J46" s="5"/>
      <c r="K46" s="9">
        <f>K33+K36+K39</f>
        <v>10</v>
      </c>
      <c r="L46" s="9">
        <f>L33+L36+L39</f>
        <v>1896</v>
      </c>
      <c r="M46" s="5"/>
      <c r="N46" s="9">
        <f>N33+N36+N39</f>
        <v>409</v>
      </c>
      <c r="O46" s="9">
        <f>O33+O36+O39</f>
        <v>1913</v>
      </c>
      <c r="P46" s="5"/>
      <c r="Q46" s="9">
        <f>Q33+Q36+Q39</f>
        <v>892</v>
      </c>
      <c r="R46" s="5"/>
    </row>
    <row r="47" spans="1:18" x14ac:dyDescent="0.3">
      <c r="A47" s="43" t="s">
        <v>2</v>
      </c>
      <c r="B47" s="5"/>
      <c r="C47" s="9">
        <f>SUM(C28:C31)</f>
        <v>10</v>
      </c>
      <c r="D47" s="5"/>
      <c r="E47" s="9">
        <f>SUM(E28:E31)</f>
        <v>10</v>
      </c>
      <c r="F47" s="9">
        <f>SUM(F28:F31)</f>
        <v>10</v>
      </c>
      <c r="G47" s="5"/>
      <c r="H47" s="9">
        <f>SUM(H28:H31)</f>
        <v>10</v>
      </c>
      <c r="I47" s="9">
        <f>SUM(I28:I31)</f>
        <v>20</v>
      </c>
      <c r="J47" s="5"/>
      <c r="K47" s="9">
        <f>SUM(K28:K31)</f>
        <v>10</v>
      </c>
      <c r="L47" s="9">
        <f>SUM(L28:L31)</f>
        <v>20</v>
      </c>
      <c r="M47" s="5"/>
      <c r="N47" s="9">
        <f>SUM(N28:N31)</f>
        <v>10</v>
      </c>
      <c r="O47" s="9">
        <f>SUM(O28:O31)</f>
        <v>30</v>
      </c>
      <c r="P47" s="5"/>
      <c r="Q47" s="9">
        <f>SUM(Q28:Q31)</f>
        <v>10</v>
      </c>
      <c r="R47" s="5"/>
    </row>
    <row r="48" spans="1:18" x14ac:dyDescent="0.3">
      <c r="A48" s="44" t="s">
        <v>11</v>
      </c>
      <c r="B48" s="5"/>
      <c r="C48" s="6">
        <f>C22</f>
        <v>0</v>
      </c>
      <c r="D48" s="5"/>
      <c r="E48" s="6">
        <f>E22</f>
        <v>0</v>
      </c>
      <c r="F48" s="6">
        <f>F22</f>
        <v>0</v>
      </c>
      <c r="G48" s="5"/>
      <c r="H48" s="6">
        <f>H22</f>
        <v>0</v>
      </c>
      <c r="I48" s="6">
        <f>I22</f>
        <v>0</v>
      </c>
      <c r="J48" s="5"/>
      <c r="K48" s="6">
        <f>K22</f>
        <v>0</v>
      </c>
      <c r="L48" s="6">
        <f>L22</f>
        <v>1876</v>
      </c>
      <c r="M48" s="5"/>
      <c r="N48" s="6">
        <f>N22</f>
        <v>399</v>
      </c>
      <c r="O48" s="6">
        <f>O22</f>
        <v>1883</v>
      </c>
      <c r="P48" s="5"/>
      <c r="Q48" s="6">
        <f>Q22</f>
        <v>882</v>
      </c>
      <c r="R48" s="5"/>
    </row>
    <row r="49" spans="1:18" x14ac:dyDescent="0.3">
      <c r="A49" s="43" t="s">
        <v>5</v>
      </c>
      <c r="B49" s="5"/>
      <c r="C49" s="9">
        <f>C34+C37+C40+C43</f>
        <v>0</v>
      </c>
      <c r="D49" s="5"/>
      <c r="E49" s="9">
        <f>E34+E37+E40+E43</f>
        <v>0</v>
      </c>
      <c r="F49" s="9">
        <f>F34+F37+F40+F43</f>
        <v>746.25</v>
      </c>
      <c r="G49" s="5"/>
      <c r="H49" s="9">
        <f>H34+H37+H40+H43</f>
        <v>390</v>
      </c>
      <c r="I49" s="9">
        <f>I34+I37+I40+I43</f>
        <v>750</v>
      </c>
      <c r="J49" s="5"/>
      <c r="K49" s="9">
        <f>K34+K37+K40+K43</f>
        <v>2955</v>
      </c>
      <c r="L49" s="9">
        <f>L34+L37+L40+L43</f>
        <v>141.5</v>
      </c>
      <c r="M49" s="5"/>
      <c r="N49" s="9">
        <f>N34+N37+N40+N43</f>
        <v>2991</v>
      </c>
      <c r="O49" s="9">
        <f>O34+O37+O40+O43</f>
        <v>134.5</v>
      </c>
      <c r="P49" s="5"/>
      <c r="Q49" s="6">
        <f>Q34+Q37+Q40+Q43</f>
        <v>3025.5</v>
      </c>
      <c r="R49" s="5"/>
    </row>
    <row r="50" spans="1:18" x14ac:dyDescent="0.3">
      <c r="A50" s="43" t="s">
        <v>7</v>
      </c>
      <c r="B50" s="5"/>
      <c r="C50" s="12">
        <f>C35+C38+C41+C44</f>
        <v>430</v>
      </c>
      <c r="D50" s="5"/>
      <c r="E50" s="12">
        <f>E35+E38+E41+E44</f>
        <v>465</v>
      </c>
      <c r="F50" s="12">
        <f>F35+F38+F41+F44</f>
        <v>243.75</v>
      </c>
      <c r="G50" s="5"/>
      <c r="H50" s="12">
        <f>H35+H38+H41+H44</f>
        <v>600</v>
      </c>
      <c r="I50" s="12">
        <f>I35+I38+I41+I44</f>
        <v>230</v>
      </c>
      <c r="J50" s="5"/>
      <c r="K50" s="12">
        <f>K35+K38+K41+K44</f>
        <v>1455</v>
      </c>
      <c r="L50" s="12">
        <f>L35+L38+L41+L44</f>
        <v>652.5</v>
      </c>
      <c r="M50" s="5"/>
      <c r="N50" s="12">
        <f>N35+N38+N41+N44</f>
        <v>1600</v>
      </c>
      <c r="O50" s="12">
        <f>O35+O38+O41+O44</f>
        <v>642.5</v>
      </c>
      <c r="P50" s="5"/>
      <c r="Q50" s="34">
        <f>Q35+Q38+Q41+Q44</f>
        <v>1772.5</v>
      </c>
      <c r="R50" s="5"/>
    </row>
    <row r="51" spans="1:18" x14ac:dyDescent="0.3">
      <c r="A51" s="43"/>
      <c r="B51" s="5"/>
      <c r="C51" s="12"/>
      <c r="D51" s="5"/>
      <c r="E51" s="12"/>
      <c r="F51" s="12"/>
      <c r="G51" s="5"/>
      <c r="H51" s="12"/>
      <c r="I51" s="12"/>
      <c r="J51" s="5"/>
      <c r="K51" s="12"/>
      <c r="L51" s="12"/>
      <c r="M51" s="5"/>
      <c r="N51" s="12"/>
      <c r="O51" s="12"/>
      <c r="P51" s="5"/>
      <c r="Q51" s="12"/>
      <c r="R51" s="5"/>
    </row>
    <row r="52" spans="1:18" x14ac:dyDescent="0.3">
      <c r="A52" s="45" t="s">
        <v>4</v>
      </c>
      <c r="B52" s="5"/>
      <c r="C52" s="13">
        <f>SUM(C47:C50)</f>
        <v>440</v>
      </c>
      <c r="D52" s="5"/>
      <c r="E52" s="13">
        <f>SUM(E47:E50)</f>
        <v>475</v>
      </c>
      <c r="F52" s="13">
        <f>SUM(F47:F50)</f>
        <v>1000</v>
      </c>
      <c r="G52" s="15"/>
      <c r="H52" s="13">
        <f>SUM(H47:H50)</f>
        <v>1000</v>
      </c>
      <c r="I52" s="13">
        <f>SUM(I47:I50)</f>
        <v>1000</v>
      </c>
      <c r="J52" s="15"/>
      <c r="K52" s="13">
        <f>SUM(K47:K50)</f>
        <v>4420</v>
      </c>
      <c r="L52" s="13">
        <f>SUM(L47:L50)</f>
        <v>2690</v>
      </c>
      <c r="M52" s="15"/>
      <c r="N52" s="13">
        <f>SUM(N47:N50)</f>
        <v>5000</v>
      </c>
      <c r="O52" s="13">
        <f>SUM(O47:O50)</f>
        <v>2690</v>
      </c>
      <c r="P52" s="15"/>
      <c r="Q52" s="13">
        <f>SUM(Q47:Q50)</f>
        <v>5690</v>
      </c>
      <c r="R52" s="15"/>
    </row>
    <row r="53" spans="1:18" x14ac:dyDescent="0.3">
      <c r="A53" s="14"/>
      <c r="B53" s="15"/>
      <c r="C53" s="16"/>
      <c r="D53" s="15"/>
      <c r="E53" s="16"/>
      <c r="F53" s="16"/>
      <c r="G53" s="15"/>
      <c r="H53" s="16"/>
      <c r="I53" s="16"/>
      <c r="J53" s="15"/>
      <c r="K53" s="16"/>
      <c r="L53" s="16"/>
      <c r="M53" s="15"/>
      <c r="N53" s="16"/>
      <c r="O53" s="16"/>
      <c r="P53" s="15"/>
      <c r="Q53" s="16"/>
      <c r="R53" s="15"/>
    </row>
    <row r="54" spans="1:18" x14ac:dyDescent="0.3">
      <c r="A54" s="22" t="s">
        <v>37</v>
      </c>
      <c r="B54" s="15"/>
      <c r="C54" s="16"/>
      <c r="D54" s="15"/>
      <c r="E54" s="16"/>
      <c r="F54" s="16"/>
      <c r="G54" s="15"/>
      <c r="H54" s="16"/>
      <c r="I54" s="16"/>
      <c r="J54" s="15"/>
      <c r="K54" s="16"/>
      <c r="L54" s="16"/>
      <c r="M54" s="15"/>
      <c r="N54" s="16"/>
      <c r="O54" s="16"/>
      <c r="P54" s="15"/>
      <c r="Q54" s="16"/>
      <c r="R54" s="15"/>
    </row>
    <row r="55" spans="1:18" x14ac:dyDescent="0.3">
      <c r="A55" s="23" t="s">
        <v>38</v>
      </c>
      <c r="B55" s="15"/>
      <c r="C55" s="16"/>
      <c r="D55" s="15"/>
      <c r="E55" s="16"/>
      <c r="F55" s="16"/>
      <c r="G55" s="15"/>
      <c r="H55" s="16"/>
      <c r="I55" s="16"/>
      <c r="J55" s="15"/>
      <c r="K55" s="16"/>
      <c r="L55" s="16"/>
      <c r="M55" s="15"/>
      <c r="N55" s="16"/>
      <c r="O55" s="16"/>
      <c r="P55" s="15"/>
      <c r="Q55" s="16"/>
      <c r="R55" s="15"/>
    </row>
    <row r="56" spans="1:18" x14ac:dyDescent="0.3">
      <c r="A56" s="24" t="s">
        <v>39</v>
      </c>
      <c r="B56" s="15"/>
      <c r="C56" s="26">
        <f>SUM(C49)</f>
        <v>0</v>
      </c>
      <c r="D56" s="15"/>
      <c r="E56" s="26">
        <f>SUM(E49)</f>
        <v>0</v>
      </c>
      <c r="F56" s="26">
        <f>SUM(F49)</f>
        <v>746.25</v>
      </c>
      <c r="G56" s="15"/>
      <c r="H56" s="26">
        <f>SUM(H49)</f>
        <v>390</v>
      </c>
      <c r="I56" s="26">
        <f>SUM(I49)</f>
        <v>750</v>
      </c>
      <c r="J56" s="15"/>
      <c r="K56" s="26">
        <f>SUM(K49)</f>
        <v>2955</v>
      </c>
      <c r="L56" s="26">
        <f>SUM(L49)</f>
        <v>141.5</v>
      </c>
      <c r="M56" s="15"/>
      <c r="N56" s="26">
        <f>SUM(N49)</f>
        <v>2991</v>
      </c>
      <c r="O56" s="26">
        <f>SUM(O49)</f>
        <v>134.5</v>
      </c>
      <c r="P56" s="15"/>
      <c r="Q56" s="26">
        <f>SUM(Q49)</f>
        <v>3025.5</v>
      </c>
      <c r="R56" s="15"/>
    </row>
    <row r="57" spans="1:18" x14ac:dyDescent="0.3">
      <c r="A57" s="25" t="s">
        <v>40</v>
      </c>
      <c r="B57" s="15"/>
      <c r="C57" s="26">
        <v>0</v>
      </c>
      <c r="D57" s="15"/>
      <c r="E57" s="26">
        <v>0</v>
      </c>
      <c r="F57" s="26">
        <v>0</v>
      </c>
      <c r="G57" s="15"/>
      <c r="H57" s="26">
        <v>0</v>
      </c>
      <c r="I57" s="26">
        <v>0</v>
      </c>
      <c r="J57" s="15"/>
      <c r="K57" s="26">
        <v>0</v>
      </c>
      <c r="L57" s="26">
        <v>0</v>
      </c>
      <c r="M57" s="15"/>
      <c r="N57" s="26">
        <v>0</v>
      </c>
      <c r="O57" s="26">
        <v>0</v>
      </c>
      <c r="P57" s="15"/>
      <c r="Q57" s="26">
        <v>0</v>
      </c>
      <c r="R57" s="15"/>
    </row>
    <row r="58" spans="1:18" x14ac:dyDescent="0.3">
      <c r="A58" s="46" t="s">
        <v>41</v>
      </c>
      <c r="B58" s="15"/>
      <c r="C58" s="83"/>
      <c r="D58" s="15"/>
      <c r="E58" s="83"/>
      <c r="F58" s="83"/>
      <c r="G58" s="15"/>
      <c r="H58" s="83"/>
      <c r="I58" s="83"/>
      <c r="J58" s="15"/>
      <c r="K58" s="83"/>
      <c r="L58" s="83"/>
      <c r="M58" s="15"/>
      <c r="N58" s="83"/>
      <c r="O58" s="83"/>
      <c r="P58" s="15"/>
      <c r="Q58" s="83"/>
      <c r="R58" s="15"/>
    </row>
    <row r="59" spans="1:18" ht="65" x14ac:dyDescent="0.3">
      <c r="A59" s="47" t="s">
        <v>42</v>
      </c>
      <c r="B59" s="15"/>
      <c r="C59" s="27">
        <f>C47+0+0+C48+C50+C56+C57</f>
        <v>440</v>
      </c>
      <c r="D59" s="15"/>
      <c r="E59" s="27">
        <f>E47+0+0+E48+E50+E56+E57</f>
        <v>475</v>
      </c>
      <c r="F59" s="27">
        <f>F47+0+0+F48+F50+F56+F57</f>
        <v>1000</v>
      </c>
      <c r="G59" s="15"/>
      <c r="H59" s="27">
        <f>H47+0+0+H48+H50+H56+H57</f>
        <v>1000</v>
      </c>
      <c r="I59" s="27">
        <f>I47+0+0+I48+I50+I56+I57</f>
        <v>1000</v>
      </c>
      <c r="J59" s="15"/>
      <c r="K59" s="27">
        <f>K47+0+0+K48+K50+K56+K57</f>
        <v>4420</v>
      </c>
      <c r="L59" s="27">
        <f>L47+0+0+L48+L50+L56+L57</f>
        <v>2690</v>
      </c>
      <c r="M59" s="15"/>
      <c r="N59" s="27">
        <f>N47+0+0+N48+N50+N56+N57</f>
        <v>5000</v>
      </c>
      <c r="O59" s="27">
        <f>O47+0+0+O48+O50+O56+O57</f>
        <v>2690</v>
      </c>
      <c r="P59" s="15"/>
      <c r="Q59" s="27">
        <f>Q47+0+0+Q48+Q50+Q56+Q57</f>
        <v>5690</v>
      </c>
      <c r="R59" s="1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66"/>
  <sheetViews>
    <sheetView zoomScale="80" zoomScaleNormal="80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A47" sqref="A47:XFD49"/>
    </sheetView>
  </sheetViews>
  <sheetFormatPr defaultColWidth="9.1796875" defaultRowHeight="13" x14ac:dyDescent="0.3"/>
  <cols>
    <col min="1" max="1" width="51" style="4" customWidth="1"/>
    <col min="2" max="2" width="3.26953125" style="4" customWidth="1"/>
    <col min="3" max="3" width="19.7265625" style="18" customWidth="1"/>
    <col min="4" max="4" width="3.26953125" style="4" customWidth="1"/>
    <col min="5" max="5" width="19.81640625" style="18" customWidth="1"/>
    <col min="6" max="6" width="3.26953125" style="4" customWidth="1"/>
    <col min="7" max="7" width="19.7265625" style="18" customWidth="1"/>
    <col min="8" max="8" width="3.26953125" style="4" customWidth="1"/>
    <col min="9" max="9" width="19.7265625" style="18" customWidth="1"/>
    <col min="10" max="10" width="3.26953125" style="4" customWidth="1"/>
    <col min="11" max="11" width="19.7265625" style="18" customWidth="1"/>
    <col min="12" max="12" width="3.26953125" style="4" customWidth="1"/>
    <col min="13" max="13" width="19.7265625" style="18" customWidth="1"/>
    <col min="14" max="14" width="3.26953125" style="4" customWidth="1"/>
    <col min="15" max="16384" width="9.1796875" style="4"/>
  </cols>
  <sheetData>
    <row r="1" spans="1:14" ht="147" customHeight="1" x14ac:dyDescent="0.3">
      <c r="A1" s="21" t="s">
        <v>92</v>
      </c>
      <c r="B1" s="2"/>
      <c r="C1" s="3" t="s">
        <v>55</v>
      </c>
      <c r="D1" s="2"/>
      <c r="E1" s="20" t="s">
        <v>96</v>
      </c>
      <c r="F1" s="2"/>
      <c r="G1" s="20" t="s">
        <v>88</v>
      </c>
      <c r="H1" s="2"/>
      <c r="I1" s="20" t="s">
        <v>97</v>
      </c>
      <c r="J1" s="2"/>
      <c r="K1" s="20" t="s">
        <v>98</v>
      </c>
      <c r="L1" s="2"/>
      <c r="M1" s="3" t="s">
        <v>115</v>
      </c>
      <c r="N1" s="2"/>
    </row>
    <row r="2" spans="1:14" x14ac:dyDescent="0.3">
      <c r="A2" s="36" t="s">
        <v>65</v>
      </c>
      <c r="B2" s="5"/>
      <c r="C2" s="6">
        <v>10</v>
      </c>
      <c r="D2" s="7"/>
      <c r="E2" s="6">
        <v>10</v>
      </c>
      <c r="F2" s="5"/>
      <c r="G2" s="6">
        <v>10</v>
      </c>
      <c r="H2" s="5"/>
      <c r="I2" s="6">
        <v>10</v>
      </c>
      <c r="J2" s="5"/>
      <c r="K2" s="6">
        <v>10</v>
      </c>
      <c r="L2" s="5"/>
      <c r="M2" s="6">
        <v>10</v>
      </c>
      <c r="N2" s="5"/>
    </row>
    <row r="3" spans="1:14" x14ac:dyDescent="0.3">
      <c r="A3" s="36" t="s">
        <v>29</v>
      </c>
      <c r="B3" s="5"/>
      <c r="C3" s="6">
        <v>20</v>
      </c>
      <c r="D3" s="7"/>
      <c r="E3" s="6">
        <v>20</v>
      </c>
      <c r="F3" s="5"/>
      <c r="G3" s="6">
        <v>20</v>
      </c>
      <c r="H3" s="5"/>
      <c r="I3" s="6">
        <v>20</v>
      </c>
      <c r="J3" s="5"/>
      <c r="K3" s="6">
        <v>20</v>
      </c>
      <c r="L3" s="5"/>
      <c r="M3" s="6">
        <v>20</v>
      </c>
      <c r="N3" s="5"/>
    </row>
    <row r="4" spans="1:14" x14ac:dyDescent="0.3">
      <c r="A4" s="36" t="s">
        <v>30</v>
      </c>
      <c r="B4" s="5"/>
      <c r="C4" s="6">
        <v>30</v>
      </c>
      <c r="D4" s="7"/>
      <c r="E4" s="6">
        <v>30</v>
      </c>
      <c r="F4" s="5"/>
      <c r="G4" s="6">
        <v>30</v>
      </c>
      <c r="H4" s="5"/>
      <c r="I4" s="6">
        <v>30</v>
      </c>
      <c r="J4" s="5"/>
      <c r="K4" s="6">
        <v>30</v>
      </c>
      <c r="L4" s="5"/>
      <c r="M4" s="6">
        <v>30</v>
      </c>
      <c r="N4" s="5"/>
    </row>
    <row r="5" spans="1:14" x14ac:dyDescent="0.3">
      <c r="A5" s="36" t="s">
        <v>27</v>
      </c>
      <c r="B5" s="5"/>
      <c r="C5" s="8"/>
      <c r="D5" s="7"/>
      <c r="E5" s="8"/>
      <c r="F5" s="5"/>
      <c r="G5" s="8"/>
      <c r="H5" s="5"/>
      <c r="I5" s="8"/>
      <c r="J5" s="5"/>
      <c r="K5" s="8"/>
      <c r="L5" s="5"/>
      <c r="M5" s="8"/>
      <c r="N5" s="5"/>
    </row>
    <row r="6" spans="1:14" x14ac:dyDescent="0.3">
      <c r="A6" s="36" t="s">
        <v>1</v>
      </c>
      <c r="B6" s="5"/>
      <c r="C6" s="6">
        <f>SUM(C7:C7)</f>
        <v>440</v>
      </c>
      <c r="D6" s="7"/>
      <c r="E6" s="6">
        <f>SUM(E7:E7)</f>
        <v>1000</v>
      </c>
      <c r="F6" s="5"/>
      <c r="G6" s="6">
        <f>SUM(G7:G7)</f>
        <v>1000</v>
      </c>
      <c r="H6" s="5"/>
      <c r="I6" s="6">
        <f>SUM(I7:I7)</f>
        <v>1000</v>
      </c>
      <c r="J6" s="5"/>
      <c r="K6" s="9">
        <f>SUM(K7:K7)</f>
        <v>1000</v>
      </c>
      <c r="L6" s="5"/>
      <c r="M6" s="6">
        <f>SUM(M7:M7)</f>
        <v>5000</v>
      </c>
      <c r="N6" s="5"/>
    </row>
    <row r="7" spans="1:14" x14ac:dyDescent="0.3">
      <c r="A7" s="37" t="s">
        <v>0</v>
      </c>
      <c r="B7" s="5"/>
      <c r="C7" s="6">
        <v>440</v>
      </c>
      <c r="D7" s="7"/>
      <c r="E7" s="6">
        <v>1000</v>
      </c>
      <c r="F7" s="5"/>
      <c r="G7" s="6">
        <v>1000</v>
      </c>
      <c r="H7" s="5"/>
      <c r="I7" s="6">
        <v>1000</v>
      </c>
      <c r="J7" s="5"/>
      <c r="K7" s="9">
        <v>1000</v>
      </c>
      <c r="L7" s="5"/>
      <c r="M7" s="6">
        <v>5000</v>
      </c>
      <c r="N7" s="5"/>
    </row>
    <row r="8" spans="1:14" x14ac:dyDescent="0.3">
      <c r="A8" s="38" t="s">
        <v>19</v>
      </c>
      <c r="B8" s="5"/>
      <c r="C8" s="6">
        <v>0</v>
      </c>
      <c r="D8" s="7"/>
      <c r="E8" s="6">
        <v>475</v>
      </c>
      <c r="F8" s="5"/>
      <c r="G8" s="6">
        <v>480</v>
      </c>
      <c r="H8" s="5"/>
      <c r="I8" s="6">
        <v>4410</v>
      </c>
      <c r="J8" s="5"/>
      <c r="K8" s="6">
        <v>4430</v>
      </c>
      <c r="L8" s="5"/>
      <c r="M8" s="6">
        <v>0</v>
      </c>
      <c r="N8" s="5"/>
    </row>
    <row r="9" spans="1:14" x14ac:dyDescent="0.3">
      <c r="A9" s="38" t="s">
        <v>18</v>
      </c>
      <c r="B9" s="5"/>
      <c r="C9" s="6">
        <v>0</v>
      </c>
      <c r="D9" s="7"/>
      <c r="E9" s="6">
        <v>0</v>
      </c>
      <c r="F9" s="5"/>
      <c r="G9" s="6">
        <v>0</v>
      </c>
      <c r="H9" s="5"/>
      <c r="I9" s="6">
        <v>0</v>
      </c>
      <c r="J9" s="5"/>
      <c r="K9" s="6">
        <v>0</v>
      </c>
      <c r="L9" s="5"/>
      <c r="M9" s="6">
        <v>0</v>
      </c>
      <c r="N9" s="5"/>
    </row>
    <row r="10" spans="1:14" x14ac:dyDescent="0.3">
      <c r="A10" s="39" t="s">
        <v>6</v>
      </c>
      <c r="B10" s="5"/>
      <c r="C10" s="10"/>
      <c r="D10" s="5"/>
      <c r="E10" s="10"/>
      <c r="F10" s="5"/>
      <c r="G10" s="10"/>
      <c r="H10" s="5"/>
      <c r="I10" s="10"/>
      <c r="J10" s="5"/>
      <c r="K10" s="10"/>
      <c r="L10" s="5"/>
      <c r="M10" s="10"/>
      <c r="N10" s="5"/>
    </row>
    <row r="11" spans="1:14" x14ac:dyDescent="0.3">
      <c r="A11" s="40" t="s">
        <v>20</v>
      </c>
      <c r="B11" s="5"/>
      <c r="C11" s="11">
        <f>IF(C8&gt;480,0,MIN(480-C8,C6))</f>
        <v>440</v>
      </c>
      <c r="D11" s="5"/>
      <c r="E11" s="11">
        <f>IF(E8&gt;480,0,MIN(480-E8,E6))</f>
        <v>5</v>
      </c>
      <c r="F11" s="5"/>
      <c r="G11" s="11">
        <f>IF(G8&gt;480,0,MIN(480-G8,G6))</f>
        <v>0</v>
      </c>
      <c r="H11" s="5"/>
      <c r="I11" s="11">
        <f>IF(I8&gt;480,0,MIN(480-I8,I6))</f>
        <v>0</v>
      </c>
      <c r="J11" s="5"/>
      <c r="K11" s="11">
        <f>IF(K8&gt;480,0,MIN(480-K8,K6))</f>
        <v>0</v>
      </c>
      <c r="L11" s="5"/>
      <c r="M11" s="11">
        <f>IF(M8&gt;480,0,MIN(480-M8,M6))</f>
        <v>480</v>
      </c>
      <c r="N11" s="5"/>
    </row>
    <row r="12" spans="1:14" x14ac:dyDescent="0.3">
      <c r="A12" s="41" t="s">
        <v>14</v>
      </c>
      <c r="B12" s="5"/>
      <c r="C12" s="6">
        <f>C11*100%</f>
        <v>440</v>
      </c>
      <c r="D12" s="5"/>
      <c r="E12" s="6">
        <f>E11*100%</f>
        <v>5</v>
      </c>
      <c r="F12" s="5"/>
      <c r="G12" s="6">
        <f>G11*100%</f>
        <v>0</v>
      </c>
      <c r="H12" s="5"/>
      <c r="I12" s="6">
        <f>I11*100%</f>
        <v>0</v>
      </c>
      <c r="J12" s="5"/>
      <c r="K12" s="6">
        <f>K11*100%</f>
        <v>0</v>
      </c>
      <c r="L12" s="5"/>
      <c r="M12" s="6">
        <f>M11*100%</f>
        <v>480</v>
      </c>
      <c r="N12" s="5"/>
    </row>
    <row r="13" spans="1:14" x14ac:dyDescent="0.3">
      <c r="A13" s="41" t="s">
        <v>15</v>
      </c>
      <c r="B13" s="5"/>
      <c r="C13" s="6">
        <f>C11-C12</f>
        <v>0</v>
      </c>
      <c r="D13" s="5"/>
      <c r="E13" s="6">
        <f>E11-E12</f>
        <v>0</v>
      </c>
      <c r="F13" s="5"/>
      <c r="G13" s="6">
        <f>G11-G12</f>
        <v>0</v>
      </c>
      <c r="H13" s="5"/>
      <c r="I13" s="6">
        <f>I11-I12</f>
        <v>0</v>
      </c>
      <c r="J13" s="5"/>
      <c r="K13" s="6">
        <f>K11-K12</f>
        <v>0</v>
      </c>
      <c r="L13" s="5"/>
      <c r="M13" s="6">
        <f>M11-M12</f>
        <v>0</v>
      </c>
      <c r="N13" s="5"/>
    </row>
    <row r="14" spans="1:14" x14ac:dyDescent="0.3">
      <c r="A14" s="40" t="s">
        <v>21</v>
      </c>
      <c r="B14" s="5"/>
      <c r="C14" s="11">
        <f>IF(C8&gt;4430,0,MIN(4430-C8-C11,C6-C11))</f>
        <v>0</v>
      </c>
      <c r="D14" s="5"/>
      <c r="E14" s="11">
        <f>IF(E8&gt;4430,0,MIN(4430-E8-E11,E6-E11))</f>
        <v>995</v>
      </c>
      <c r="F14" s="5"/>
      <c r="G14" s="11">
        <f>IF(G8&gt;4430,0,MIN(4430-G8-G11,G6-G11))</f>
        <v>1000</v>
      </c>
      <c r="H14" s="5"/>
      <c r="I14" s="11">
        <f>IF(I8&gt;4430,0,MIN(4430-I8-I11,I6-I11))</f>
        <v>20</v>
      </c>
      <c r="J14" s="5"/>
      <c r="K14" s="11">
        <f>IF(K8&gt;4430,0,MIN(4430-K8-K11,K6-K11))</f>
        <v>0</v>
      </c>
      <c r="L14" s="5"/>
      <c r="M14" s="11">
        <f>IF(M8&gt;4430,0,MIN(4430-M8-M11,M6-M11))</f>
        <v>3950</v>
      </c>
      <c r="N14" s="5"/>
    </row>
    <row r="15" spans="1:14" x14ac:dyDescent="0.3">
      <c r="A15" s="41" t="s">
        <v>8</v>
      </c>
      <c r="B15" s="5"/>
      <c r="C15" s="6">
        <f>SUM(C14)*25%</f>
        <v>0</v>
      </c>
      <c r="D15" s="5"/>
      <c r="E15" s="6">
        <f>SUM(E14)*25%</f>
        <v>248.75</v>
      </c>
      <c r="F15" s="5"/>
      <c r="G15" s="6">
        <f>SUM(G14)*25%</f>
        <v>250</v>
      </c>
      <c r="H15" s="5"/>
      <c r="I15" s="6">
        <f>SUM(I14)*25%</f>
        <v>5</v>
      </c>
      <c r="J15" s="5"/>
      <c r="K15" s="6">
        <f>SUM(K14)*25%</f>
        <v>0</v>
      </c>
      <c r="L15" s="5"/>
      <c r="M15" s="6">
        <f>SUM(M14)*25%</f>
        <v>987.5</v>
      </c>
      <c r="N15" s="5"/>
    </row>
    <row r="16" spans="1:14" x14ac:dyDescent="0.3">
      <c r="A16" s="41" t="s">
        <v>9</v>
      </c>
      <c r="B16" s="5"/>
      <c r="C16" s="6">
        <f>C14-C15</f>
        <v>0</v>
      </c>
      <c r="D16" s="5"/>
      <c r="E16" s="6">
        <f>E14-E15</f>
        <v>746.25</v>
      </c>
      <c r="F16" s="5"/>
      <c r="G16" s="6">
        <f>G14-G15</f>
        <v>750</v>
      </c>
      <c r="H16" s="5"/>
      <c r="I16" s="6">
        <f>I14-I15</f>
        <v>15</v>
      </c>
      <c r="J16" s="5"/>
      <c r="K16" s="6">
        <f>K14-K15</f>
        <v>0</v>
      </c>
      <c r="L16" s="5"/>
      <c r="M16" s="6">
        <f>M14-M15</f>
        <v>2962.5</v>
      </c>
      <c r="N16" s="5"/>
    </row>
    <row r="17" spans="1:14" x14ac:dyDescent="0.3">
      <c r="A17" s="40" t="s">
        <v>25</v>
      </c>
      <c r="B17" s="5"/>
      <c r="C17" s="11">
        <f>SUM(C6-C11-C14)</f>
        <v>0</v>
      </c>
      <c r="D17" s="5"/>
      <c r="E17" s="11">
        <f>SUM(E6-E11-E14)</f>
        <v>0</v>
      </c>
      <c r="F17" s="5"/>
      <c r="G17" s="11">
        <f>SUM(G6-G11-G14)</f>
        <v>0</v>
      </c>
      <c r="H17" s="5"/>
      <c r="I17" s="11">
        <f>SUM(I6-I11-I14)</f>
        <v>980</v>
      </c>
      <c r="J17" s="5"/>
      <c r="K17" s="11">
        <f>SUM(K6-K11-K14)</f>
        <v>1000</v>
      </c>
      <c r="L17" s="5"/>
      <c r="M17" s="11">
        <f>SUM(M6-M11-M14)</f>
        <v>570</v>
      </c>
      <c r="N17" s="5"/>
    </row>
    <row r="18" spans="1:14" x14ac:dyDescent="0.3">
      <c r="A18" s="40" t="s">
        <v>95</v>
      </c>
      <c r="B18" s="5"/>
      <c r="C18" s="11">
        <f>7050-C9-C12-C15</f>
        <v>6610</v>
      </c>
      <c r="D18" s="5"/>
      <c r="E18" s="11">
        <f>7050-E9-E12-E15</f>
        <v>6796.25</v>
      </c>
      <c r="F18" s="5"/>
      <c r="G18" s="11">
        <f>7050-G9-G12-G15</f>
        <v>6800</v>
      </c>
      <c r="H18" s="5"/>
      <c r="I18" s="11">
        <f>7050-I9-I12-I15</f>
        <v>7045</v>
      </c>
      <c r="J18" s="5"/>
      <c r="K18" s="11">
        <f>7050-K9-K12-K15</f>
        <v>7050</v>
      </c>
      <c r="L18" s="5"/>
      <c r="M18" s="11">
        <f>7050-M9-M12-M15</f>
        <v>5582.5</v>
      </c>
      <c r="N18" s="5"/>
    </row>
    <row r="19" spans="1:14" x14ac:dyDescent="0.3">
      <c r="A19" s="40" t="s">
        <v>22</v>
      </c>
      <c r="B19" s="5"/>
      <c r="C19" s="11">
        <f>IF(C17=0,0,MIN(C17,C18/95%))</f>
        <v>0</v>
      </c>
      <c r="D19" s="5"/>
      <c r="E19" s="11">
        <f>IF(E17=0,0,MIN(E17,E18/95%))</f>
        <v>0</v>
      </c>
      <c r="F19" s="5"/>
      <c r="G19" s="11">
        <f>IF(G17=0,0,MIN(G17,G18/95%))</f>
        <v>0</v>
      </c>
      <c r="H19" s="5"/>
      <c r="I19" s="11">
        <f>IF(I17=0,0,MIN(I17,I18/95%))</f>
        <v>980</v>
      </c>
      <c r="J19" s="5"/>
      <c r="K19" s="11">
        <f>IF(K17=0,0,MIN(K17,K18/95%))</f>
        <v>1000</v>
      </c>
      <c r="L19" s="5"/>
      <c r="M19" s="11">
        <f>IF(M17=0,0,MIN(M17,M18/95%))</f>
        <v>570</v>
      </c>
      <c r="N19" s="5"/>
    </row>
    <row r="20" spans="1:14" x14ac:dyDescent="0.3">
      <c r="A20" s="40" t="s">
        <v>24</v>
      </c>
      <c r="B20" s="5"/>
      <c r="C20" s="11">
        <f>C19</f>
        <v>0</v>
      </c>
      <c r="D20" s="5"/>
      <c r="E20" s="11">
        <f>E19</f>
        <v>0</v>
      </c>
      <c r="F20" s="5"/>
      <c r="G20" s="11">
        <f>G19</f>
        <v>0</v>
      </c>
      <c r="H20" s="5"/>
      <c r="I20" s="11">
        <f>I19</f>
        <v>980</v>
      </c>
      <c r="J20" s="5"/>
      <c r="K20" s="11">
        <f>K19</f>
        <v>1000</v>
      </c>
      <c r="L20" s="5"/>
      <c r="M20" s="11">
        <f>M19</f>
        <v>570</v>
      </c>
      <c r="N20" s="5"/>
    </row>
    <row r="21" spans="1:14" x14ac:dyDescent="0.3">
      <c r="A21" s="41" t="s">
        <v>10</v>
      </c>
      <c r="B21" s="5"/>
      <c r="C21" s="6">
        <f>C19*95%-C22</f>
        <v>0</v>
      </c>
      <c r="D21" s="5"/>
      <c r="E21" s="6">
        <f>E19*95%-E22</f>
        <v>0</v>
      </c>
      <c r="F21" s="5"/>
      <c r="G21" s="6">
        <f>G19*95%-G22</f>
        <v>0</v>
      </c>
      <c r="H21" s="5"/>
      <c r="I21" s="6">
        <f>I19*95%-I22</f>
        <v>245</v>
      </c>
      <c r="J21" s="5"/>
      <c r="K21" s="6">
        <f>K19*95%-K22</f>
        <v>250</v>
      </c>
      <c r="L21" s="5"/>
      <c r="M21" s="6">
        <f>M19*95%-M22</f>
        <v>142.5</v>
      </c>
      <c r="N21" s="5"/>
    </row>
    <row r="22" spans="1:14" x14ac:dyDescent="0.3">
      <c r="A22" s="41" t="s">
        <v>17</v>
      </c>
      <c r="B22" s="5"/>
      <c r="C22" s="6">
        <f>C20*70%</f>
        <v>0</v>
      </c>
      <c r="D22" s="5"/>
      <c r="E22" s="6">
        <f>E20*70%</f>
        <v>0</v>
      </c>
      <c r="F22" s="5"/>
      <c r="G22" s="6">
        <f>G20*70%</f>
        <v>0</v>
      </c>
      <c r="H22" s="5"/>
      <c r="I22" s="6">
        <f>I20*70%</f>
        <v>686</v>
      </c>
      <c r="J22" s="5"/>
      <c r="K22" s="6">
        <f>K20*70%</f>
        <v>700</v>
      </c>
      <c r="L22" s="5"/>
      <c r="M22" s="6">
        <f>M20*70%</f>
        <v>399</v>
      </c>
      <c r="N22" s="5"/>
    </row>
    <row r="23" spans="1:14" x14ac:dyDescent="0.3">
      <c r="A23" s="41" t="s">
        <v>12</v>
      </c>
      <c r="B23" s="5"/>
      <c r="C23" s="6">
        <f>SUM(C19-C21-C22)</f>
        <v>0</v>
      </c>
      <c r="D23" s="5"/>
      <c r="E23" s="6">
        <f>SUM(E19-E21-E22)</f>
        <v>0</v>
      </c>
      <c r="F23" s="5"/>
      <c r="G23" s="6">
        <f>SUM(G19-G21-G22)</f>
        <v>0</v>
      </c>
      <c r="H23" s="5"/>
      <c r="I23" s="6">
        <f>SUM(I19-I21-I22)</f>
        <v>49</v>
      </c>
      <c r="J23" s="5"/>
      <c r="K23" s="6">
        <f>SUM(K19-K21-K22)</f>
        <v>50</v>
      </c>
      <c r="L23" s="5"/>
      <c r="M23" s="6">
        <f>SUM(M19-M21-M22)</f>
        <v>28.5</v>
      </c>
      <c r="N23" s="5"/>
    </row>
    <row r="24" spans="1:14" x14ac:dyDescent="0.3">
      <c r="A24" s="40" t="s">
        <v>23</v>
      </c>
      <c r="B24" s="5"/>
      <c r="C24" s="11">
        <f>SUM(C6-C11-C14-C19)</f>
        <v>0</v>
      </c>
      <c r="D24" s="5"/>
      <c r="E24" s="11">
        <f>SUM(E6-E11-E14-E19)</f>
        <v>0</v>
      </c>
      <c r="F24" s="5"/>
      <c r="G24" s="11">
        <f>SUM(G6-G11-G14-G19)</f>
        <v>0</v>
      </c>
      <c r="H24" s="5"/>
      <c r="I24" s="11">
        <f>SUM(I6-I11-I14-I19)</f>
        <v>0</v>
      </c>
      <c r="J24" s="5"/>
      <c r="K24" s="11">
        <f>SUM(K6-K11-K14-K19)</f>
        <v>0</v>
      </c>
      <c r="L24" s="5"/>
      <c r="M24" s="11">
        <f>SUM(M6-M11-M14-M19)</f>
        <v>0</v>
      </c>
      <c r="N24" s="5"/>
    </row>
    <row r="25" spans="1:14" x14ac:dyDescent="0.3">
      <c r="A25" s="41" t="s">
        <v>13</v>
      </c>
      <c r="B25" s="5"/>
      <c r="C25" s="6">
        <f>SUM(C24*5%)</f>
        <v>0</v>
      </c>
      <c r="D25" s="5"/>
      <c r="E25" s="6">
        <f>SUM(E24*5%)</f>
        <v>0</v>
      </c>
      <c r="F25" s="5"/>
      <c r="G25" s="6">
        <f>SUM(G24*5%)</f>
        <v>0</v>
      </c>
      <c r="H25" s="5"/>
      <c r="I25" s="6">
        <f>SUM(I24*5%)</f>
        <v>0</v>
      </c>
      <c r="J25" s="5"/>
      <c r="K25" s="6">
        <f>SUM(K24*5%)</f>
        <v>0</v>
      </c>
      <c r="L25" s="5"/>
      <c r="M25" s="6">
        <f>SUM(M24*5%)</f>
        <v>0</v>
      </c>
      <c r="N25" s="5"/>
    </row>
    <row r="26" spans="1:14" x14ac:dyDescent="0.3">
      <c r="A26" s="41" t="s">
        <v>16</v>
      </c>
      <c r="B26" s="5"/>
      <c r="C26" s="6">
        <f>SUM(C24-C25)</f>
        <v>0</v>
      </c>
      <c r="D26" s="5"/>
      <c r="E26" s="6">
        <f>SUM(E24-E25)</f>
        <v>0</v>
      </c>
      <c r="F26" s="5"/>
      <c r="G26" s="6">
        <f>SUM(G24-G25)</f>
        <v>0</v>
      </c>
      <c r="H26" s="5"/>
      <c r="I26" s="6">
        <f>SUM(I24-I25)</f>
        <v>0</v>
      </c>
      <c r="J26" s="5"/>
      <c r="K26" s="6">
        <f>SUM(K24-K25)</f>
        <v>0</v>
      </c>
      <c r="L26" s="5"/>
      <c r="M26" s="6">
        <f>SUM(M24-M25)</f>
        <v>0</v>
      </c>
      <c r="N26" s="5"/>
    </row>
    <row r="27" spans="1:14" x14ac:dyDescent="0.3">
      <c r="A27" s="40" t="s">
        <v>26</v>
      </c>
      <c r="B27" s="5"/>
      <c r="C27" s="11"/>
      <c r="D27" s="5"/>
      <c r="E27" s="11"/>
      <c r="F27" s="5"/>
      <c r="G27" s="11"/>
      <c r="H27" s="5"/>
      <c r="I27" s="11"/>
      <c r="J27" s="5"/>
      <c r="K27" s="11"/>
      <c r="L27" s="5"/>
      <c r="M27" s="11"/>
      <c r="N27" s="5"/>
    </row>
    <row r="28" spans="1:14" x14ac:dyDescent="0.3">
      <c r="A28" s="81" t="s">
        <v>52</v>
      </c>
      <c r="B28" s="5"/>
      <c r="C28" s="6">
        <v>80</v>
      </c>
      <c r="D28" s="5"/>
      <c r="E28" s="6">
        <v>80</v>
      </c>
      <c r="F28" s="5"/>
      <c r="G28" s="6">
        <v>80</v>
      </c>
      <c r="H28" s="5"/>
      <c r="I28" s="6">
        <v>80</v>
      </c>
      <c r="J28" s="5"/>
      <c r="K28" s="6">
        <v>80</v>
      </c>
      <c r="L28" s="5"/>
      <c r="M28" s="6">
        <v>80</v>
      </c>
      <c r="N28" s="5"/>
    </row>
    <row r="29" spans="1:14" x14ac:dyDescent="0.3">
      <c r="A29" s="41" t="s">
        <v>48</v>
      </c>
      <c r="B29" s="5"/>
      <c r="C29" s="6">
        <v>80</v>
      </c>
      <c r="D29" s="5"/>
      <c r="E29" s="6">
        <v>80</v>
      </c>
      <c r="F29" s="5"/>
      <c r="G29" s="6">
        <v>80</v>
      </c>
      <c r="H29" s="5"/>
      <c r="I29" s="6">
        <v>80</v>
      </c>
      <c r="J29" s="5"/>
      <c r="K29" s="6">
        <v>80</v>
      </c>
      <c r="L29" s="5"/>
      <c r="M29" s="6">
        <v>80</v>
      </c>
      <c r="N29" s="5"/>
    </row>
    <row r="30" spans="1:14" x14ac:dyDescent="0.3">
      <c r="A30" s="81" t="s">
        <v>93</v>
      </c>
      <c r="B30" s="5"/>
      <c r="C30" s="6">
        <f>IF(C11&gt;0,MIN(50%*(C6-C29),C2,C6),IF(C14&gt;0,MIN(25%*(C6-C29),C3,C6),MIN(25%*(C6-C29,C4,C6))))</f>
        <v>10</v>
      </c>
      <c r="D30" s="5"/>
      <c r="E30" s="6">
        <f>IF(E11&gt;0,MIN(50%*(E6-E29),E2,E6),IF(E14&gt;0,MIN(25%*(E6-E29),E3,E6),MIN(25%*(E6-E29,E4,E6))))</f>
        <v>10</v>
      </c>
      <c r="F30" s="5"/>
      <c r="G30" s="6">
        <f>IF(G11&gt;0,MIN(50%*(G6-G29),G2,G6),IF(G14&gt;0,MIN(25%*(G6-G29),G3,G6),MIN(25%*(G6-G29,G4,G6))))</f>
        <v>20</v>
      </c>
      <c r="H30" s="5"/>
      <c r="I30" s="6">
        <f>IF(I11&gt;0,MIN(50%*(I6-I29),I2,I6),IF(I14&gt;0,MIN(25%*(I6-I29),I3,I6),MIN(25%*(I6-I29,I4,I6))))</f>
        <v>20</v>
      </c>
      <c r="J30" s="5"/>
      <c r="K30" s="6">
        <f>IF(K11&gt;0,MIN(50%*(K6-K29),K2,K6),IF(K14&gt;0,MIN(25%*(K6-K29),K3,K6),MIN(25%*(K6-K29),K4,K6,K4)))</f>
        <v>30</v>
      </c>
      <c r="L30" s="5"/>
      <c r="M30" s="6">
        <f>IF(M11&gt;0,MIN(50%*(M6-M29),M2,M6),IF(M14&gt;0,MIN(25%*(M6-M29),M3,M6),MIN(25%*(M6-M29,M4,M6))))</f>
        <v>10</v>
      </c>
      <c r="N30" s="5"/>
    </row>
    <row r="31" spans="1:14" x14ac:dyDescent="0.3">
      <c r="A31" s="81" t="s">
        <v>94</v>
      </c>
      <c r="B31" s="5"/>
      <c r="C31" s="6">
        <f>SUM(C29:C30)</f>
        <v>90</v>
      </c>
      <c r="D31" s="5"/>
      <c r="E31" s="6">
        <f>SUM(E29:E30)</f>
        <v>90</v>
      </c>
      <c r="F31" s="5"/>
      <c r="G31" s="6">
        <f>SUM(G29:G30)</f>
        <v>100</v>
      </c>
      <c r="H31" s="5"/>
      <c r="I31" s="6">
        <f>SUM(I29:I30)</f>
        <v>100</v>
      </c>
      <c r="J31" s="5"/>
      <c r="K31" s="6">
        <f>SUM(K29:K30)</f>
        <v>110</v>
      </c>
      <c r="L31" s="5"/>
      <c r="M31" s="6">
        <f>SUM(M29:M30)</f>
        <v>90</v>
      </c>
      <c r="N31" s="5"/>
    </row>
    <row r="32" spans="1:14" x14ac:dyDescent="0.3">
      <c r="A32" s="81" t="s">
        <v>112</v>
      </c>
      <c r="B32" s="5"/>
      <c r="C32" s="6">
        <v>80</v>
      </c>
      <c r="D32" s="5"/>
      <c r="E32" s="6">
        <v>5</v>
      </c>
      <c r="F32" s="5"/>
      <c r="G32" s="6">
        <v>0</v>
      </c>
      <c r="H32" s="5"/>
      <c r="I32" s="6">
        <v>0</v>
      </c>
      <c r="J32" s="5"/>
      <c r="K32" s="6">
        <v>0</v>
      </c>
      <c r="L32" s="5"/>
      <c r="M32" s="6">
        <v>80</v>
      </c>
      <c r="N32" s="5"/>
    </row>
    <row r="33" spans="1:14" x14ac:dyDescent="0.3">
      <c r="A33" s="41" t="s">
        <v>46</v>
      </c>
      <c r="B33" s="5"/>
      <c r="C33" s="6">
        <f>MIN(C11*50%,C2)</f>
        <v>10</v>
      </c>
      <c r="D33" s="5"/>
      <c r="E33" s="6">
        <v>0</v>
      </c>
      <c r="F33" s="5"/>
      <c r="G33" s="6">
        <v>0</v>
      </c>
      <c r="H33" s="5"/>
      <c r="I33" s="6">
        <f>IF(I11=0,0,MIN(I31,I11))</f>
        <v>0</v>
      </c>
      <c r="J33" s="5"/>
      <c r="K33" s="6">
        <f>IF(K11=0,0,MIN(K31,K11))</f>
        <v>0</v>
      </c>
      <c r="L33" s="5"/>
      <c r="M33" s="6">
        <v>10</v>
      </c>
      <c r="N33" s="5"/>
    </row>
    <row r="34" spans="1:14" x14ac:dyDescent="0.3">
      <c r="A34" s="81" t="s">
        <v>113</v>
      </c>
      <c r="B34" s="5"/>
      <c r="C34" s="6">
        <v>0</v>
      </c>
      <c r="D34" s="5"/>
      <c r="E34" s="6">
        <v>75</v>
      </c>
      <c r="F34" s="5"/>
      <c r="G34" s="6">
        <v>80</v>
      </c>
      <c r="H34" s="5"/>
      <c r="I34" s="6">
        <v>20</v>
      </c>
      <c r="J34" s="5"/>
      <c r="K34" s="6">
        <v>0</v>
      </c>
      <c r="L34" s="5"/>
      <c r="M34" s="6">
        <v>0</v>
      </c>
      <c r="N34" s="5"/>
    </row>
    <row r="35" spans="1:14" x14ac:dyDescent="0.3">
      <c r="A35" s="41" t="s">
        <v>47</v>
      </c>
      <c r="B35" s="5"/>
      <c r="C35" s="6">
        <v>0</v>
      </c>
      <c r="D35" s="5"/>
      <c r="E35" s="6">
        <v>5</v>
      </c>
      <c r="F35" s="5"/>
      <c r="G35" s="6">
        <v>20</v>
      </c>
      <c r="H35" s="5"/>
      <c r="I35" s="6">
        <v>0</v>
      </c>
      <c r="J35" s="5"/>
      <c r="K35" s="6">
        <v>0</v>
      </c>
      <c r="L35" s="5"/>
      <c r="M35" s="6">
        <v>0</v>
      </c>
      <c r="N35" s="5"/>
    </row>
    <row r="36" spans="1:14" x14ac:dyDescent="0.3">
      <c r="A36" s="81" t="s">
        <v>114</v>
      </c>
      <c r="B36" s="5"/>
      <c r="C36" s="6">
        <v>0</v>
      </c>
      <c r="D36" s="5"/>
      <c r="E36" s="6">
        <v>0</v>
      </c>
      <c r="F36" s="5"/>
      <c r="G36" s="6">
        <v>0</v>
      </c>
      <c r="H36" s="5"/>
      <c r="I36" s="6">
        <v>60</v>
      </c>
      <c r="J36" s="5"/>
      <c r="K36" s="6">
        <v>80</v>
      </c>
      <c r="L36" s="5"/>
      <c r="M36" s="6">
        <v>0</v>
      </c>
      <c r="N36" s="5"/>
    </row>
    <row r="37" spans="1:14" x14ac:dyDescent="0.3">
      <c r="A37" s="41" t="s">
        <v>35</v>
      </c>
      <c r="B37" s="5"/>
      <c r="C37" s="6">
        <v>0</v>
      </c>
      <c r="D37" s="5"/>
      <c r="E37" s="6">
        <f>IF(E19=0,0,MIN(E31-E33-E35,E19))</f>
        <v>0</v>
      </c>
      <c r="F37" s="5"/>
      <c r="G37" s="6">
        <v>0</v>
      </c>
      <c r="H37" s="5"/>
      <c r="I37" s="6">
        <v>20</v>
      </c>
      <c r="J37" s="5"/>
      <c r="K37" s="6">
        <v>30</v>
      </c>
      <c r="L37" s="5"/>
      <c r="M37" s="6">
        <v>0</v>
      </c>
      <c r="N37" s="5"/>
    </row>
    <row r="38" spans="1:14" x14ac:dyDescent="0.3">
      <c r="A38" s="41" t="s">
        <v>28</v>
      </c>
      <c r="B38" s="5"/>
      <c r="C38" s="6">
        <v>0</v>
      </c>
      <c r="D38" s="5"/>
      <c r="E38" s="6">
        <v>0</v>
      </c>
      <c r="F38" s="5"/>
      <c r="G38" s="6">
        <v>0</v>
      </c>
      <c r="H38" s="5"/>
      <c r="I38" s="6">
        <v>0</v>
      </c>
      <c r="J38" s="5"/>
      <c r="K38" s="6">
        <v>0</v>
      </c>
      <c r="L38" s="5"/>
      <c r="M38" s="6">
        <v>0</v>
      </c>
      <c r="N38" s="5"/>
    </row>
    <row r="39" spans="1:14" x14ac:dyDescent="0.3">
      <c r="A39" s="39" t="s">
        <v>36</v>
      </c>
      <c r="B39" s="5"/>
      <c r="C39" s="10"/>
      <c r="D39" s="5"/>
      <c r="E39" s="10"/>
      <c r="F39" s="5"/>
      <c r="G39" s="10"/>
      <c r="H39" s="5"/>
      <c r="I39" s="10"/>
      <c r="J39" s="5"/>
      <c r="K39" s="10"/>
      <c r="L39" s="5"/>
      <c r="M39" s="10"/>
      <c r="N39" s="5"/>
    </row>
    <row r="40" spans="1:14" x14ac:dyDescent="0.3">
      <c r="A40" s="41" t="s">
        <v>54</v>
      </c>
      <c r="B40" s="5"/>
      <c r="C40" s="6">
        <f>MIN(C29,C31)</f>
        <v>80</v>
      </c>
      <c r="D40" s="5"/>
      <c r="E40" s="6">
        <f>MIN(E29,E31)</f>
        <v>80</v>
      </c>
      <c r="F40" s="5"/>
      <c r="G40" s="6">
        <f>MIN(G29,G31)</f>
        <v>80</v>
      </c>
      <c r="H40" s="5"/>
      <c r="I40" s="6">
        <f>MIN(I29,I31)</f>
        <v>80</v>
      </c>
      <c r="J40" s="5"/>
      <c r="K40" s="6">
        <f>MIN(K29,K31)</f>
        <v>80</v>
      </c>
      <c r="L40" s="5"/>
      <c r="M40" s="6">
        <f>MIN(M29,M31)</f>
        <v>80</v>
      </c>
      <c r="N40" s="5"/>
    </row>
    <row r="41" spans="1:14" x14ac:dyDescent="0.3">
      <c r="A41" s="41" t="s">
        <v>14</v>
      </c>
      <c r="B41" s="5"/>
      <c r="C41" s="6">
        <f>C32+C33</f>
        <v>90</v>
      </c>
      <c r="D41" s="5"/>
      <c r="E41" s="6">
        <f>E32+E33</f>
        <v>5</v>
      </c>
      <c r="F41" s="5"/>
      <c r="G41" s="6">
        <f>G32+G33</f>
        <v>0</v>
      </c>
      <c r="H41" s="5"/>
      <c r="I41" s="6">
        <f>I32+I33</f>
        <v>0</v>
      </c>
      <c r="J41" s="5"/>
      <c r="K41" s="6">
        <f>K32+K33</f>
        <v>0</v>
      </c>
      <c r="L41" s="5"/>
      <c r="M41" s="6">
        <f>M32+M33</f>
        <v>90</v>
      </c>
      <c r="N41" s="5"/>
    </row>
    <row r="42" spans="1:14" x14ac:dyDescent="0.3">
      <c r="A42" s="41" t="s">
        <v>15</v>
      </c>
      <c r="B42" s="5"/>
      <c r="C42" s="6">
        <f>C13</f>
        <v>0</v>
      </c>
      <c r="D42" s="5"/>
      <c r="E42" s="6">
        <f>E13</f>
        <v>0</v>
      </c>
      <c r="F42" s="5"/>
      <c r="G42" s="6">
        <f>G13</f>
        <v>0</v>
      </c>
      <c r="H42" s="5"/>
      <c r="I42" s="6">
        <f>I13</f>
        <v>0</v>
      </c>
      <c r="J42" s="5"/>
      <c r="K42" s="6">
        <f>K13</f>
        <v>0</v>
      </c>
      <c r="L42" s="5"/>
      <c r="M42" s="6">
        <f>M13</f>
        <v>0</v>
      </c>
      <c r="N42" s="5"/>
    </row>
    <row r="43" spans="1:14" x14ac:dyDescent="0.3">
      <c r="A43" s="41" t="s">
        <v>99</v>
      </c>
      <c r="B43" s="5"/>
      <c r="C43" s="6">
        <f>C11-C32-C33</f>
        <v>350</v>
      </c>
      <c r="D43" s="15"/>
      <c r="E43" s="6">
        <f>E11-E32-E33</f>
        <v>0</v>
      </c>
      <c r="F43" s="15"/>
      <c r="G43" s="6">
        <f>G11-G41-G42</f>
        <v>0</v>
      </c>
      <c r="H43" s="15"/>
      <c r="I43" s="6">
        <f>I11-I32-I33</f>
        <v>0</v>
      </c>
      <c r="J43" s="15"/>
      <c r="K43" s="6">
        <f>K11-K32-K33</f>
        <v>0</v>
      </c>
      <c r="L43" s="15"/>
      <c r="M43" s="6">
        <f>M11-M32-M33</f>
        <v>390</v>
      </c>
      <c r="N43" s="15"/>
    </row>
    <row r="44" spans="1:14" x14ac:dyDescent="0.3">
      <c r="A44" s="41" t="s">
        <v>100</v>
      </c>
      <c r="B44" s="5"/>
      <c r="C44" s="6">
        <f>C34+C35</f>
        <v>0</v>
      </c>
      <c r="D44" s="15"/>
      <c r="E44" s="6">
        <v>85</v>
      </c>
      <c r="F44" s="15"/>
      <c r="G44" s="6">
        <f>G34+G35</f>
        <v>100</v>
      </c>
      <c r="H44" s="15"/>
      <c r="I44" s="6">
        <f>I34+I35</f>
        <v>20</v>
      </c>
      <c r="J44" s="15"/>
      <c r="K44" s="6">
        <f>K34+K35</f>
        <v>0</v>
      </c>
      <c r="L44" s="15"/>
      <c r="M44" s="6">
        <f>M34+M35</f>
        <v>0</v>
      </c>
      <c r="N44" s="15"/>
    </row>
    <row r="45" spans="1:14" x14ac:dyDescent="0.3">
      <c r="A45" s="41" t="s">
        <v>101</v>
      </c>
      <c r="B45" s="5"/>
      <c r="C45" s="6">
        <f>C16</f>
        <v>0</v>
      </c>
      <c r="D45" s="15"/>
      <c r="E45" s="6">
        <f>E16</f>
        <v>746.25</v>
      </c>
      <c r="F45" s="15"/>
      <c r="G45" s="6">
        <f>G16</f>
        <v>750</v>
      </c>
      <c r="H45" s="15"/>
      <c r="I45" s="6">
        <f>I16</f>
        <v>15</v>
      </c>
      <c r="J45" s="15"/>
      <c r="K45" s="6">
        <f>K16</f>
        <v>0</v>
      </c>
      <c r="L45" s="15"/>
      <c r="M45" s="6">
        <f>M16</f>
        <v>2962.5</v>
      </c>
      <c r="N45" s="15"/>
    </row>
    <row r="46" spans="1:14" x14ac:dyDescent="0.3">
      <c r="A46" s="41" t="s">
        <v>102</v>
      </c>
      <c r="B46" s="5"/>
      <c r="C46" s="6">
        <f>C14-C44-C45</f>
        <v>0</v>
      </c>
      <c r="D46" s="15"/>
      <c r="E46" s="6">
        <f>E14-E44-E45</f>
        <v>163.75</v>
      </c>
      <c r="F46" s="15"/>
      <c r="G46" s="6">
        <f>G14-G44-G45</f>
        <v>150</v>
      </c>
      <c r="H46" s="15"/>
      <c r="I46" s="6">
        <f>I14-I44-I45</f>
        <v>-15</v>
      </c>
      <c r="J46" s="15"/>
      <c r="K46" s="6">
        <f>K14-K44-K45</f>
        <v>0</v>
      </c>
      <c r="L46" s="15"/>
      <c r="M46" s="6">
        <f>M14-M44-M45</f>
        <v>987.5</v>
      </c>
      <c r="N46" s="15"/>
    </row>
    <row r="47" spans="1:14" x14ac:dyDescent="0.3">
      <c r="A47" s="41" t="s">
        <v>103</v>
      </c>
      <c r="B47" s="5"/>
      <c r="C47" s="6">
        <f>C36+C37+C22</f>
        <v>0</v>
      </c>
      <c r="D47" s="15"/>
      <c r="E47" s="6">
        <f>E36+E37+E22</f>
        <v>0</v>
      </c>
      <c r="F47" s="15"/>
      <c r="G47" s="6">
        <f>G36+G37+G22</f>
        <v>0</v>
      </c>
      <c r="H47" s="15"/>
      <c r="I47" s="6">
        <f>I36+I37+I22</f>
        <v>766</v>
      </c>
      <c r="J47" s="15"/>
      <c r="K47" s="6">
        <f>K36+K37+K22</f>
        <v>810</v>
      </c>
      <c r="L47" s="15"/>
      <c r="M47" s="6">
        <f>M36+M37+M22</f>
        <v>399</v>
      </c>
      <c r="N47" s="15"/>
    </row>
    <row r="48" spans="1:14" x14ac:dyDescent="0.3">
      <c r="A48" s="41" t="s">
        <v>104</v>
      </c>
      <c r="B48" s="5"/>
      <c r="C48" s="6">
        <f>C23</f>
        <v>0</v>
      </c>
      <c r="D48" s="15"/>
      <c r="E48" s="6">
        <f>E23</f>
        <v>0</v>
      </c>
      <c r="F48" s="15"/>
      <c r="G48" s="6">
        <f>G23</f>
        <v>0</v>
      </c>
      <c r="H48" s="15"/>
      <c r="I48" s="6">
        <f>I23</f>
        <v>49</v>
      </c>
      <c r="J48" s="15"/>
      <c r="K48" s="6">
        <f>K23</f>
        <v>50</v>
      </c>
      <c r="L48" s="15"/>
      <c r="M48" s="6">
        <f>M23</f>
        <v>28.5</v>
      </c>
      <c r="N48" s="15"/>
    </row>
    <row r="49" spans="1:14" x14ac:dyDescent="0.3">
      <c r="A49" s="41" t="s">
        <v>105</v>
      </c>
      <c r="B49" s="5"/>
      <c r="C49" s="6">
        <f>C19-C47-C48</f>
        <v>0</v>
      </c>
      <c r="D49" s="15"/>
      <c r="E49" s="6">
        <f>E19-E47-E48</f>
        <v>0</v>
      </c>
      <c r="F49" s="15"/>
      <c r="G49" s="6">
        <f>G19-G47-G48</f>
        <v>0</v>
      </c>
      <c r="H49" s="15"/>
      <c r="I49" s="6">
        <f>I19-I47-I48</f>
        <v>165</v>
      </c>
      <c r="J49" s="15"/>
      <c r="K49" s="6">
        <f>K19-K47-K48</f>
        <v>140</v>
      </c>
      <c r="L49" s="15"/>
      <c r="M49" s="6">
        <f>M19-M47-M48</f>
        <v>142.5</v>
      </c>
      <c r="N49" s="15"/>
    </row>
    <row r="50" spans="1:14" x14ac:dyDescent="0.3">
      <c r="A50" s="41" t="s">
        <v>106</v>
      </c>
      <c r="B50" s="5"/>
      <c r="C50" s="6">
        <f>C38</f>
        <v>0</v>
      </c>
      <c r="D50" s="15"/>
      <c r="E50" s="6">
        <f>E38</f>
        <v>0</v>
      </c>
      <c r="F50" s="15"/>
      <c r="G50" s="6">
        <f>G38</f>
        <v>0</v>
      </c>
      <c r="H50" s="15"/>
      <c r="I50" s="6">
        <f>I38</f>
        <v>0</v>
      </c>
      <c r="J50" s="15"/>
      <c r="K50" s="6">
        <f>K38</f>
        <v>0</v>
      </c>
      <c r="L50" s="15"/>
      <c r="M50" s="6">
        <f>M38</f>
        <v>0</v>
      </c>
      <c r="N50" s="15"/>
    </row>
    <row r="51" spans="1:14" x14ac:dyDescent="0.3">
      <c r="A51" s="41" t="s">
        <v>107</v>
      </c>
      <c r="B51" s="5"/>
      <c r="C51" s="6">
        <f>C26</f>
        <v>0</v>
      </c>
      <c r="D51" s="15"/>
      <c r="E51" s="6">
        <f>E26</f>
        <v>0</v>
      </c>
      <c r="F51" s="15"/>
      <c r="G51" s="6">
        <f>G26</f>
        <v>0</v>
      </c>
      <c r="H51" s="15"/>
      <c r="I51" s="6">
        <f>I26</f>
        <v>0</v>
      </c>
      <c r="J51" s="15"/>
      <c r="K51" s="6">
        <f>K26</f>
        <v>0</v>
      </c>
      <c r="L51" s="15"/>
      <c r="M51" s="6">
        <f>M26</f>
        <v>0</v>
      </c>
      <c r="N51" s="15"/>
    </row>
    <row r="52" spans="1:14" x14ac:dyDescent="0.3">
      <c r="A52" s="41" t="s">
        <v>108</v>
      </c>
      <c r="B52" s="5"/>
      <c r="C52" s="6">
        <f>C25-C38</f>
        <v>0</v>
      </c>
      <c r="D52" s="15"/>
      <c r="E52" s="6">
        <f>E25-E38</f>
        <v>0</v>
      </c>
      <c r="F52" s="15"/>
      <c r="G52" s="6">
        <f>G25-G38</f>
        <v>0</v>
      </c>
      <c r="H52" s="15"/>
      <c r="I52" s="6">
        <f>I25-I38</f>
        <v>0</v>
      </c>
      <c r="J52" s="15"/>
      <c r="K52" s="6">
        <f>K25-K38</f>
        <v>0</v>
      </c>
      <c r="L52" s="15"/>
      <c r="M52" s="6">
        <f>M25-M38</f>
        <v>0</v>
      </c>
      <c r="N52" s="15"/>
    </row>
    <row r="53" spans="1:14" x14ac:dyDescent="0.3">
      <c r="A53" s="39" t="s">
        <v>3</v>
      </c>
      <c r="B53" s="5"/>
      <c r="C53" s="10"/>
      <c r="D53" s="15"/>
      <c r="E53" s="10"/>
      <c r="F53" s="15"/>
      <c r="G53" s="10"/>
      <c r="H53" s="15"/>
      <c r="I53" s="10"/>
      <c r="J53" s="15"/>
      <c r="K53" s="10"/>
      <c r="L53" s="15"/>
      <c r="M53" s="10"/>
      <c r="N53" s="15"/>
    </row>
    <row r="54" spans="1:14" x14ac:dyDescent="0.3">
      <c r="A54" s="43" t="s">
        <v>86</v>
      </c>
      <c r="B54" s="5"/>
      <c r="C54" s="9">
        <f>C41+C44+C47</f>
        <v>90</v>
      </c>
      <c r="D54" s="15"/>
      <c r="E54" s="9">
        <f>E41+E44+E47</f>
        <v>90</v>
      </c>
      <c r="F54" s="15"/>
      <c r="G54" s="9">
        <f>G41+G44+G47</f>
        <v>100</v>
      </c>
      <c r="H54" s="15"/>
      <c r="I54" s="9">
        <f>I41+I44+I47</f>
        <v>786</v>
      </c>
      <c r="J54" s="15"/>
      <c r="K54" s="9">
        <f>K41+K44+K47</f>
        <v>810</v>
      </c>
      <c r="L54" s="15"/>
      <c r="M54" s="9">
        <f>M41+M44+M47</f>
        <v>489</v>
      </c>
      <c r="N54" s="15"/>
    </row>
    <row r="55" spans="1:14" x14ac:dyDescent="0.3">
      <c r="A55" s="43" t="s">
        <v>2</v>
      </c>
      <c r="B55" s="5"/>
      <c r="C55" s="9">
        <f>C31</f>
        <v>90</v>
      </c>
      <c r="D55" s="15"/>
      <c r="E55" s="9">
        <f>E31</f>
        <v>90</v>
      </c>
      <c r="F55" s="15"/>
      <c r="G55" s="9">
        <f>G31</f>
        <v>100</v>
      </c>
      <c r="H55" s="15"/>
      <c r="I55" s="9">
        <f>I31</f>
        <v>100</v>
      </c>
      <c r="J55" s="15"/>
      <c r="K55" s="9">
        <f>K31</f>
        <v>110</v>
      </c>
      <c r="L55" s="15"/>
      <c r="M55" s="9">
        <f>M31</f>
        <v>90</v>
      </c>
      <c r="N55" s="15"/>
    </row>
    <row r="56" spans="1:14" x14ac:dyDescent="0.3">
      <c r="A56" s="44" t="s">
        <v>11</v>
      </c>
      <c r="B56" s="5"/>
      <c r="C56" s="6">
        <f>C22</f>
        <v>0</v>
      </c>
      <c r="D56" s="15"/>
      <c r="E56" s="6">
        <f>E22</f>
        <v>0</v>
      </c>
      <c r="F56" s="15"/>
      <c r="G56" s="6">
        <f>G22</f>
        <v>0</v>
      </c>
      <c r="H56" s="15"/>
      <c r="I56" s="6">
        <f>I22</f>
        <v>686</v>
      </c>
      <c r="J56" s="15"/>
      <c r="K56" s="6">
        <f>K22</f>
        <v>700</v>
      </c>
      <c r="L56" s="15"/>
      <c r="M56" s="6">
        <f>M22</f>
        <v>399</v>
      </c>
      <c r="N56" s="15"/>
    </row>
    <row r="57" spans="1:14" x14ac:dyDescent="0.3">
      <c r="A57" s="43" t="s">
        <v>5</v>
      </c>
      <c r="B57" s="5"/>
      <c r="C57" s="9">
        <f>C42+C45+C48+C51</f>
        <v>0</v>
      </c>
      <c r="D57" s="15"/>
      <c r="E57" s="9">
        <f>E42+E45+E48+E51</f>
        <v>746.25</v>
      </c>
      <c r="F57" s="15"/>
      <c r="G57" s="9">
        <f>G42+G45+G48+G51</f>
        <v>750</v>
      </c>
      <c r="H57" s="15"/>
      <c r="I57" s="9">
        <f>I42+I45+I48+I51</f>
        <v>64</v>
      </c>
      <c r="J57" s="15"/>
      <c r="K57" s="9">
        <f>K42+K45+K48+K51</f>
        <v>50</v>
      </c>
      <c r="L57" s="15"/>
      <c r="M57" s="9">
        <f>M42+M45+M48+M51</f>
        <v>2991</v>
      </c>
      <c r="N57" s="15"/>
    </row>
    <row r="58" spans="1:14" x14ac:dyDescent="0.3">
      <c r="A58" s="43" t="s">
        <v>7</v>
      </c>
      <c r="B58" s="5"/>
      <c r="C58" s="12">
        <f>C43+C46+C49+C52</f>
        <v>350</v>
      </c>
      <c r="D58" s="15"/>
      <c r="E58" s="12">
        <f>E43+E46+E49+E52</f>
        <v>163.75</v>
      </c>
      <c r="F58" s="15"/>
      <c r="G58" s="12">
        <f>G43+G46+G49+G52</f>
        <v>150</v>
      </c>
      <c r="H58" s="15"/>
      <c r="I58" s="12">
        <f>I43+I46+I49+I52</f>
        <v>150</v>
      </c>
      <c r="J58" s="15"/>
      <c r="K58" s="12">
        <f>K43+K46+K49+K52</f>
        <v>140</v>
      </c>
      <c r="L58" s="15"/>
      <c r="M58" s="12">
        <f>M43+M46+M49+M52</f>
        <v>1520</v>
      </c>
      <c r="N58" s="15"/>
    </row>
    <row r="59" spans="1:14" x14ac:dyDescent="0.3">
      <c r="A59" s="43"/>
      <c r="B59" s="5"/>
      <c r="C59" s="12"/>
      <c r="D59" s="15"/>
      <c r="E59" s="12"/>
      <c r="F59" s="15"/>
      <c r="G59" s="12"/>
      <c r="H59" s="15"/>
      <c r="I59" s="12"/>
      <c r="J59" s="15"/>
      <c r="K59" s="12"/>
      <c r="L59" s="15"/>
      <c r="M59" s="12"/>
      <c r="N59" s="15"/>
    </row>
    <row r="60" spans="1:14" x14ac:dyDescent="0.3">
      <c r="A60" s="45" t="s">
        <v>4</v>
      </c>
      <c r="B60" s="5"/>
      <c r="C60" s="13">
        <f>SUM(C55:C58)</f>
        <v>440</v>
      </c>
      <c r="D60" s="15"/>
      <c r="E60" s="13">
        <f>SUM(E55:E58)</f>
        <v>1000</v>
      </c>
      <c r="F60" s="15"/>
      <c r="G60" s="13">
        <f>SUM(G55:G58)</f>
        <v>1000</v>
      </c>
      <c r="H60" s="15"/>
      <c r="I60" s="13">
        <f>SUM(I55:I58)</f>
        <v>1000</v>
      </c>
      <c r="J60" s="15"/>
      <c r="K60" s="13">
        <f>SUM(K55:K58)</f>
        <v>1000</v>
      </c>
      <c r="L60" s="15"/>
      <c r="M60" s="13">
        <f>SUM(M55:M58)</f>
        <v>5000</v>
      </c>
      <c r="N60" s="15"/>
    </row>
    <row r="61" spans="1:14" x14ac:dyDescent="0.3">
      <c r="A61" s="14"/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</row>
    <row r="62" spans="1:14" x14ac:dyDescent="0.3">
      <c r="A62" s="22" t="s">
        <v>37</v>
      </c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</row>
    <row r="63" spans="1:14" x14ac:dyDescent="0.3">
      <c r="A63" s="24" t="s">
        <v>39</v>
      </c>
      <c r="B63" s="15"/>
      <c r="C63" s="33">
        <f>SUM(C57)</f>
        <v>0</v>
      </c>
      <c r="D63" s="15"/>
      <c r="E63" s="33">
        <f>SUM(E57)</f>
        <v>746.25</v>
      </c>
      <c r="F63" s="15"/>
      <c r="G63" s="33">
        <f>SUM(G57)</f>
        <v>750</v>
      </c>
      <c r="H63" s="15"/>
      <c r="I63" s="33">
        <f>SUM(I57)</f>
        <v>64</v>
      </c>
      <c r="J63" s="15"/>
      <c r="K63" s="33">
        <f>SUM(K57)</f>
        <v>50</v>
      </c>
      <c r="L63" s="15"/>
      <c r="M63" s="33">
        <f>SUM(M57)</f>
        <v>2991</v>
      </c>
      <c r="N63" s="15"/>
    </row>
    <row r="64" spans="1:14" x14ac:dyDescent="0.3">
      <c r="A64" s="25" t="s">
        <v>40</v>
      </c>
      <c r="B64" s="15"/>
      <c r="C64" s="33">
        <v>0</v>
      </c>
      <c r="D64" s="15"/>
      <c r="E64" s="33">
        <v>0</v>
      </c>
      <c r="F64" s="15"/>
      <c r="G64" s="33">
        <v>0</v>
      </c>
      <c r="H64" s="15"/>
      <c r="I64" s="33">
        <v>0</v>
      </c>
      <c r="J64" s="15"/>
      <c r="K64" s="33">
        <v>0</v>
      </c>
      <c r="L64" s="15"/>
      <c r="M64" s="33">
        <v>0</v>
      </c>
      <c r="N64" s="15"/>
    </row>
    <row r="65" spans="1:14" x14ac:dyDescent="0.3">
      <c r="A65" s="46" t="s">
        <v>41</v>
      </c>
      <c r="B65" s="15"/>
      <c r="C65" s="17"/>
      <c r="D65" s="15"/>
      <c r="E65" s="17"/>
      <c r="F65" s="15"/>
      <c r="G65" s="17"/>
      <c r="H65" s="15"/>
      <c r="I65" s="17"/>
      <c r="J65" s="15"/>
      <c r="K65" s="17"/>
      <c r="L65" s="15"/>
      <c r="M65" s="17"/>
      <c r="N65" s="15"/>
    </row>
    <row r="66" spans="1:14" ht="65" x14ac:dyDescent="0.3">
      <c r="A66" s="47" t="s">
        <v>42</v>
      </c>
      <c r="B66" s="15"/>
      <c r="C66" s="27">
        <f>C55+C56+C58+C63+C64</f>
        <v>440</v>
      </c>
      <c r="D66" s="15"/>
      <c r="E66" s="27">
        <f>E55+E56+E58+E63+E64</f>
        <v>1000</v>
      </c>
      <c r="F66" s="15"/>
      <c r="G66" s="27">
        <f>G55+G56+G58+G63+G64</f>
        <v>1000</v>
      </c>
      <c r="H66" s="15"/>
      <c r="I66" s="27">
        <f>I55+I56+I58+I63+I64</f>
        <v>1000</v>
      </c>
      <c r="J66" s="15"/>
      <c r="K66" s="27">
        <f>K55+K56+K58+K63+K64</f>
        <v>1000</v>
      </c>
      <c r="L66" s="15"/>
      <c r="M66" s="27">
        <f>M55+M56+M58+M63+M64</f>
        <v>5000</v>
      </c>
      <c r="N6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R-YYY max ALL</vt:lpstr>
      <vt:lpstr>R-YYY max ALL SDD</vt:lpstr>
      <vt:lpstr>R-YYY max ICCG</vt:lpstr>
      <vt:lpstr>R-YYY max ICCG SDD</vt:lpstr>
      <vt:lpstr>R-YYY max DDIC</vt:lpstr>
      <vt:lpstr>R-YYY max DDIC SDD</vt:lpstr>
      <vt:lpstr>F-YYY max ALL</vt:lpstr>
      <vt:lpstr>F-YYY max ALL SDD</vt:lpstr>
    </vt:vector>
  </TitlesOfParts>
  <Company>Argus Health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Dickson</dc:creator>
  <cp:lastModifiedBy>Kondaveeti, Kranthi K</cp:lastModifiedBy>
  <cp:lastPrinted>2015-10-12T13:49:32Z</cp:lastPrinted>
  <dcterms:created xsi:type="dcterms:W3CDTF">2011-10-11T20:04:14Z</dcterms:created>
  <dcterms:modified xsi:type="dcterms:W3CDTF">2024-05-24T18:29:50Z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