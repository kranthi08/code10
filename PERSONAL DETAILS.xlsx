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 tabRatio="887"/>
  </bookViews>
  <sheets>
    <sheet name="CREDIT CARD DETAILS" sheetId="4" r:id="rId1"/>
    <sheet name="Learning Topics" sheetId="10" r:id="rId2"/>
    <sheet name="AUGUST" sheetId="1" r:id="rId3"/>
    <sheet name="September" sheetId="2" r:id="rId4"/>
    <sheet name="October" sheetId="3" r:id="rId5"/>
    <sheet name="November" sheetId="5" r:id="rId6"/>
    <sheet name="December" sheetId="6" r:id="rId7"/>
    <sheet name="Jan 2021" sheetId="7" r:id="rId8"/>
    <sheet name="Feb 2021" sheetId="8" r:id="rId9"/>
    <sheet name="MARCH 2021" sheetId="9" r:id="rId10"/>
    <sheet name="APRIL 2021" sheetId="11" r:id="rId11"/>
    <sheet name="May 2021" sheetId="12" r:id="rId12"/>
    <sheet name="June 2021" sheetId="13" r:id="rId13"/>
    <sheet name="July 2021" sheetId="16" r:id="rId14"/>
    <sheet name="August 2021" sheetId="17" r:id="rId15"/>
    <sheet name="Sept 2021" sheetId="18" r:id="rId16"/>
    <sheet name="Nov 2021" sheetId="19" r:id="rId17"/>
    <sheet name="DEC 2021" sheetId="20" r:id="rId18"/>
    <sheet name="JAN 2022" sheetId="21" r:id="rId19"/>
    <sheet name="FEB 2022" sheetId="22" r:id="rId20"/>
    <sheet name="March 2022" sheetId="23" r:id="rId21"/>
    <sheet name="April 2022" sheetId="24" r:id="rId22"/>
    <sheet name="May 2022" sheetId="25" r:id="rId23"/>
    <sheet name="June 2022" sheetId="26" r:id="rId24"/>
    <sheet name="July 2022" sheetId="27" r:id="rId25"/>
    <sheet name="Aug 2022" sheetId="28" r:id="rId26"/>
    <sheet name="Sept 2022" sheetId="29" r:id="rId27"/>
    <sheet name="Oct 2022" sheetId="30" r:id="rId28"/>
    <sheet name="Nov 2022" sheetId="31" r:id="rId29"/>
    <sheet name="DEC 2022" sheetId="32" r:id="rId30"/>
    <sheet name="JAN 2023" sheetId="33" r:id="rId31"/>
    <sheet name="FEB 2023" sheetId="34" r:id="rId32"/>
    <sheet name="APR 2023" sheetId="35" r:id="rId33"/>
    <sheet name="Sheet1" sheetId="36" r:id="rId34"/>
  </sheets>
  <calcPr calcId="162913"/>
</workbook>
</file>

<file path=xl/calcChain.xml><?xml version="1.0" encoding="utf-8"?>
<calcChain xmlns="http://schemas.openxmlformats.org/spreadsheetml/2006/main">
  <c r="C15" i="35" l="1"/>
  <c r="C17" i="34" l="1"/>
  <c r="C17" i="33" l="1"/>
  <c r="C17" i="32"/>
  <c r="C17" i="31" l="1"/>
  <c r="C17" i="30" l="1"/>
  <c r="C17" i="29" l="1"/>
  <c r="C18" i="28" l="1"/>
  <c r="C18" i="27" l="1"/>
  <c r="C18" i="26" l="1"/>
  <c r="C18" i="25" l="1"/>
  <c r="C18" i="24" l="1"/>
  <c r="C17" i="23" l="1"/>
  <c r="C17" i="22" l="1"/>
  <c r="C17" i="21" l="1"/>
  <c r="E17" i="20" l="1"/>
  <c r="E17" i="19" l="1"/>
  <c r="G18" i="18" l="1"/>
  <c r="G18" i="17" l="1"/>
  <c r="F21" i="16" l="1"/>
  <c r="F20" i="13" l="1"/>
  <c r="F21" i="12" l="1"/>
  <c r="F17" i="11" l="1"/>
</calcChain>
</file>

<file path=xl/comments1.xml><?xml version="1.0" encoding="utf-8"?>
<comments xmlns="http://schemas.openxmlformats.org/spreadsheetml/2006/main">
  <authors>
    <author>Author</author>
  </authors>
  <commentList>
    <comment ref="E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24635 paid only</t>
        </r>
      </text>
    </comment>
  </commentList>
</comments>
</file>

<file path=xl/sharedStrings.xml><?xml version="1.0" encoding="utf-8"?>
<sst xmlns="http://schemas.openxmlformats.org/spreadsheetml/2006/main" count="809" uniqueCount="227">
  <si>
    <t>HDFC CREDIT CARD BILL</t>
  </si>
  <si>
    <t xml:space="preserve">2 ND AUGUST IS THE DUE DATE </t>
  </si>
  <si>
    <t>PAID</t>
  </si>
  <si>
    <t>AMAZON ICICI CARD BILL</t>
  </si>
  <si>
    <t>16 TH AUGUST IS THE DUE DATE</t>
  </si>
  <si>
    <t>ICICI CREDIT CARD BILL</t>
  </si>
  <si>
    <t>10 TH AUGUST IS THE DUE DATE</t>
  </si>
  <si>
    <t>CITI BANK CREDIT CARD BILL</t>
  </si>
  <si>
    <t>15 TH AUGUST IS THE DUE DATE</t>
  </si>
  <si>
    <t>AMEX CREDIT CARD BILL</t>
  </si>
  <si>
    <t>SBI CREDIT CARD BILL</t>
  </si>
  <si>
    <t xml:space="preserve">24 TH AUGUST IS THE DUE DATE </t>
  </si>
  <si>
    <t>INDUS IND CREDIT CARD</t>
  </si>
  <si>
    <t>28 TH AUGUST IS THE DUE DATE</t>
  </si>
  <si>
    <t>SUDHAKAR INTEREST AMOUNT</t>
  </si>
  <si>
    <t>2 nd september 2020</t>
  </si>
  <si>
    <t xml:space="preserve">HDFC CREDIT CARD BILL </t>
  </si>
  <si>
    <t>sudhakar</t>
  </si>
  <si>
    <t>5 th October</t>
  </si>
  <si>
    <t>Due Date is 8 OCT</t>
  </si>
  <si>
    <t>Due Date is 16 th OCT</t>
  </si>
  <si>
    <t>5019.50</t>
  </si>
  <si>
    <t>Due Date is 24 th OCT</t>
  </si>
  <si>
    <t>HDFC BANK credit card bill</t>
  </si>
  <si>
    <t>CITI BANK credit card bill</t>
  </si>
  <si>
    <t>AMEX credit card bill</t>
  </si>
  <si>
    <t xml:space="preserve">AMAZON ICICI </t>
  </si>
  <si>
    <t>ICICI BANK CREDIT CARD</t>
  </si>
  <si>
    <t>SBI BANK credit card bill</t>
  </si>
  <si>
    <t>INDUS IND BANK</t>
  </si>
  <si>
    <t>PAID ON 5 th October</t>
  </si>
  <si>
    <t>AXIS LOAN 1</t>
  </si>
  <si>
    <t>AXIS LOAN 2</t>
  </si>
  <si>
    <t xml:space="preserve">Rent </t>
  </si>
  <si>
    <t>PAID ON 8 th October</t>
  </si>
  <si>
    <t>PAID ON 16 th October</t>
  </si>
  <si>
    <t/>
  </si>
  <si>
    <t>Due Date is 15 th NOV</t>
  </si>
  <si>
    <t>3 RD NOV 2020</t>
  </si>
  <si>
    <t>01-07-1971 DOB Prameela</t>
  </si>
  <si>
    <t>Due Date is 7 TH NOV</t>
  </si>
  <si>
    <t>7 TH NOV 2020</t>
  </si>
  <si>
    <t>8 TH NOV 2020</t>
  </si>
  <si>
    <t>Due Date is 2 ND NOV</t>
  </si>
  <si>
    <t>PAID ON DATE</t>
  </si>
  <si>
    <t>Due Date is 2 ND DEC</t>
  </si>
  <si>
    <t>2 ND DEC 2020</t>
  </si>
  <si>
    <t>AMEX Card login : Sneha#2014</t>
  </si>
  <si>
    <t>DUE ON DATE</t>
  </si>
  <si>
    <t>AMOUNT</t>
  </si>
  <si>
    <t>2 ND JAN 2021</t>
  </si>
  <si>
    <t>7 TH JAN 2021</t>
  </si>
  <si>
    <t>15 TH JAN 2021</t>
  </si>
  <si>
    <t>10 TH JAN 2021</t>
  </si>
  <si>
    <t>24 TH JAN 2021</t>
  </si>
  <si>
    <t>28 TH JAN 2021</t>
  </si>
  <si>
    <t>6 TH JAN 2021</t>
  </si>
  <si>
    <t>2 ND FEB 2021</t>
  </si>
  <si>
    <t>8 TH JAN 2021</t>
  </si>
  <si>
    <t>15 TH FEB 2021</t>
  </si>
  <si>
    <t>0.60</t>
  </si>
  <si>
    <t>7 TH FEB 2021</t>
  </si>
  <si>
    <t>Pluralsight user name : KKKondaveeti@dstworldwideservices.com
Password : Kranthi@08</t>
  </si>
  <si>
    <t>05-MARCH</t>
  </si>
  <si>
    <t>18-MARCH</t>
  </si>
  <si>
    <t>10-MARCH</t>
  </si>
  <si>
    <t>14-MARCH</t>
  </si>
  <si>
    <t>24-MARCH</t>
  </si>
  <si>
    <t>28-MARCH</t>
  </si>
  <si>
    <t>Sno</t>
  </si>
  <si>
    <t>Topic Name</t>
  </si>
  <si>
    <t>Getting Started with Jenkin 2</t>
  </si>
  <si>
    <t>15-MARCH</t>
  </si>
  <si>
    <t>16-MARCH</t>
  </si>
  <si>
    <t>111141.59</t>
  </si>
  <si>
    <t>CIBIL User login kranthi.kumar53@gmail.com
Password : Kranthi@08</t>
  </si>
  <si>
    <t>2 ND APRIL</t>
  </si>
  <si>
    <t>7 TH APRIL</t>
  </si>
  <si>
    <t>15 TH APRIL</t>
  </si>
  <si>
    <t>1430.47</t>
  </si>
  <si>
    <t>6 TH APRIL</t>
  </si>
  <si>
    <t>24 TH APRIL</t>
  </si>
  <si>
    <t>14 april</t>
  </si>
  <si>
    <t>15 TH APRIL 2021</t>
  </si>
  <si>
    <t>26 APRIL 2021</t>
  </si>
  <si>
    <t>10 th may</t>
  </si>
  <si>
    <t>5 th may</t>
  </si>
  <si>
    <t>7 th may</t>
  </si>
  <si>
    <t>5 th and 7th may two times paid</t>
  </si>
  <si>
    <t>2 nd may</t>
  </si>
  <si>
    <t>krishna</t>
  </si>
  <si>
    <t>June 15, 2021</t>
  </si>
  <si>
    <t>June 10, 2021</t>
  </si>
  <si>
    <t>June 09, 2021</t>
  </si>
  <si>
    <t>June 02, 2021</t>
  </si>
  <si>
    <t>June 05, 2021</t>
  </si>
  <si>
    <t>June 07, 2021</t>
  </si>
  <si>
    <t>24 July</t>
  </si>
  <si>
    <t xml:space="preserve"> 8 july</t>
  </si>
  <si>
    <t>28 july</t>
  </si>
  <si>
    <t xml:space="preserve"> 3 july</t>
  </si>
  <si>
    <t>16 th july</t>
  </si>
  <si>
    <t>11 th july</t>
  </si>
  <si>
    <t>chitti</t>
  </si>
  <si>
    <t>'16 th july</t>
  </si>
  <si>
    <t>chitti1</t>
  </si>
  <si>
    <t>chitti2</t>
  </si>
  <si>
    <t>3 RD AUGUST</t>
  </si>
  <si>
    <t xml:space="preserve"> 15 th August</t>
  </si>
  <si>
    <t>10 th August</t>
  </si>
  <si>
    <t>ICICI Bank Credit card Payback card number : 9401164625141007</t>
  </si>
  <si>
    <t>Payback pin is 2187</t>
  </si>
  <si>
    <t>payback points</t>
  </si>
  <si>
    <t>5264326489</t>
  </si>
  <si>
    <t>5287566643</t>
  </si>
  <si>
    <t>09/Aug/2021</t>
  </si>
  <si>
    <t>17/Aug/2021</t>
  </si>
  <si>
    <t>paid</t>
  </si>
  <si>
    <t>Anvity Insurance PWD is Sneha#2014</t>
  </si>
  <si>
    <t>Transferred Amount 35000</t>
  </si>
  <si>
    <t>ITR Return Amount   49200</t>
  </si>
  <si>
    <t>Balance                        14000</t>
  </si>
  <si>
    <t>S   A   L  credited 79751</t>
  </si>
  <si>
    <t>Total - 29,583   Balance - 20,417</t>
  </si>
  <si>
    <t>1 st NOVEMBER</t>
  </si>
  <si>
    <t>pavan school fee</t>
  </si>
  <si>
    <t>sneha school fee</t>
  </si>
  <si>
    <t>self covers bill</t>
  </si>
  <si>
    <t>chevva</t>
  </si>
  <si>
    <t>rent</t>
  </si>
  <si>
    <t>pavan sai school fee</t>
  </si>
  <si>
    <t xml:space="preserve">Transferred to Indus Ind Bank    </t>
  </si>
  <si>
    <t>Withdraw amount from HDFC Creditcard  50000</t>
  </si>
  <si>
    <t xml:space="preserve">Transferred to Amex credit card </t>
  </si>
  <si>
    <t>3 rd NOVEMBER</t>
  </si>
  <si>
    <t>22 ND NOVEMBER</t>
  </si>
  <si>
    <t>5 TH NOVEMBER</t>
  </si>
  <si>
    <t>3 RD DECEMBER</t>
  </si>
  <si>
    <t>8 TH DECEMBER</t>
  </si>
  <si>
    <t>24 th DECEMBER</t>
  </si>
  <si>
    <t>28 TH DECEMBER</t>
  </si>
  <si>
    <t>5 TH DECEMBER</t>
  </si>
  <si>
    <t>1 ST DECEMBER</t>
  </si>
  <si>
    <t>12 TH DECEMBER</t>
  </si>
  <si>
    <t>2 ND DECEMBER</t>
  </si>
  <si>
    <t>7 TH DECEMBER</t>
  </si>
  <si>
    <t>5 RD DECEMBER</t>
  </si>
  <si>
    <t>16 th december</t>
  </si>
  <si>
    <t>January 10, 2022</t>
  </si>
  <si>
    <t>January 1, 2022</t>
  </si>
  <si>
    <t>January 5, 2022</t>
  </si>
  <si>
    <t>January 7, 2022</t>
  </si>
  <si>
    <t>27 TH DECEMBER</t>
  </si>
  <si>
    <t>Today Date is 25-12-2021 if we debit amount 60000 from icici bank, the next billing cycle is 24 JAN 2022 and 
next due date is 10 FEB 2022</t>
  </si>
  <si>
    <t>Today Date 05-JAN-2022</t>
  </si>
  <si>
    <t>January 15, 2022</t>
  </si>
  <si>
    <t>January 28, 2022</t>
  </si>
  <si>
    <t>January 8, 2022</t>
  </si>
  <si>
    <t>February 10, 2022</t>
  </si>
  <si>
    <t>February 9, 2022</t>
  </si>
  <si>
    <t>February 2, 2022</t>
  </si>
  <si>
    <t>January 24,2022</t>
  </si>
  <si>
    <t>February 15, 2022</t>
  </si>
  <si>
    <t>February 5, 2022</t>
  </si>
  <si>
    <t>February 1, 2022</t>
  </si>
  <si>
    <t>February 3, 2022</t>
  </si>
  <si>
    <t>March 18, 2022</t>
  </si>
  <si>
    <t>March 10, 2022</t>
  </si>
  <si>
    <t>March 5, 2022</t>
  </si>
  <si>
    <t>March 28, 2022</t>
  </si>
  <si>
    <t>March 2, 2022</t>
  </si>
  <si>
    <t>March 3, 2022</t>
  </si>
  <si>
    <t>March 13, 2022</t>
  </si>
  <si>
    <t xml:space="preserve">28th March drawn 60600 from citi bank </t>
  </si>
  <si>
    <t>Billing cycle for this is 28 th April</t>
  </si>
  <si>
    <t>payment date is 10 th May</t>
  </si>
  <si>
    <t>15 th APRIL</t>
  </si>
  <si>
    <t>10 th APRIL</t>
  </si>
  <si>
    <t>3 rd April</t>
  </si>
  <si>
    <t>5 th April</t>
  </si>
  <si>
    <t>2 rd April</t>
  </si>
  <si>
    <t>10 th April</t>
  </si>
  <si>
    <t>LIC</t>
  </si>
  <si>
    <t>6857.2 Amount used in HDFC credit card</t>
  </si>
  <si>
    <t>Billing date is 14 th April</t>
  </si>
  <si>
    <t>Payment date is 2 nd May</t>
  </si>
  <si>
    <t>28 th APRIL</t>
  </si>
  <si>
    <t>Paid</t>
  </si>
  <si>
    <t>9 TH APRIL</t>
  </si>
  <si>
    <t>03/05/2022</t>
  </si>
  <si>
    <t>2 ND MAY</t>
  </si>
  <si>
    <t>09-May</t>
  </si>
  <si>
    <t>3 rd May</t>
  </si>
  <si>
    <t>9th May, withdrawn 60,000 from Amazon ICICI billing cycle is 24 th May and payment date is 9 th June</t>
  </si>
  <si>
    <t>28-08</t>
  </si>
  <si>
    <t>2 nd April</t>
  </si>
  <si>
    <t>1 st April</t>
  </si>
  <si>
    <t>3,771.01</t>
  </si>
  <si>
    <t>16 th april</t>
  </si>
  <si>
    <t>10 th april</t>
  </si>
  <si>
    <t>SSNC Go check APP password : Kranthi08@Kranthi08</t>
  </si>
  <si>
    <r>
      <rPr>
        <b/>
        <sz val="11"/>
        <color rgb="FFC00000"/>
        <rFont val="Calibri"/>
        <family val="2"/>
        <scheme val="minor"/>
      </rPr>
      <t xml:space="preserve">INDUS IND BANK CREDIT Card Password </t>
    </r>
    <r>
      <rPr>
        <b/>
        <sz val="11"/>
        <color theme="1"/>
        <rFont val="Calibri"/>
        <family val="2"/>
        <scheme val="minor"/>
      </rPr>
      <t>: Kranthi08@Kranthi08
Question 1: What is your best friend's first name? --&gt; kranthi1
Question 2: In what city is your vacation home? ---&gt; kranthi2
Question 3: What was the name of your first pet?  ---&gt; kranthi3
Indus Ind credit card PIN is 9756</t>
    </r>
  </si>
  <si>
    <t>Paymanage Password : Kranthi08@Kranthi08</t>
  </si>
  <si>
    <t>ESS Portal Password - Kranthi08@Kranth</t>
  </si>
  <si>
    <t>ICICI Bank Credit Card login ID: C11859820, Password - Pavan@17</t>
  </si>
  <si>
    <t>chat GPT password is Kranthi@08</t>
  </si>
  <si>
    <t>Password - qAw6X^r@fAe2%d</t>
  </si>
  <si>
    <t>host: fourrx-db-dev-kc.ssnc-corp.cloud</t>
  </si>
  <si>
    <t>Username:dt82484</t>
  </si>
  <si>
    <t>Your UAN -    100183597746</t>
  </si>
  <si>
    <t>Your PF No - AP/HYD/0042742/0000002046</t>
  </si>
  <si>
    <t>Dear Kranthi Kondaveeti,
Global Identification Number: 900009510
Stock plan connect user name = kranthi08
Stock plan connect password = Kranthi@08</t>
  </si>
  <si>
    <t>Password - 76a9H&amp;X%#^!CwB</t>
  </si>
  <si>
    <t>host - claimsprocessdbqckc.ssnc-corp.cloud</t>
  </si>
  <si>
    <t>Git Hub New Personal Access Token:
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</t>
  </si>
  <si>
    <t>Kranthi08 user ( personal user git hub access Token):
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
web password - Sneha#2014</t>
  </si>
  <si>
    <t>common-db-dev-kc-drx.ssnc-corp.cloud, DB claims, User ID = dt82484
Password = iqs3We&amp;UZCRPdm</t>
  </si>
  <si>
    <t>SBI Card Password : Kranthikumar@2024
CITI Bank Credit Card Password : Sneha#2014</t>
  </si>
  <si>
    <t>Canrara Bank Internet banking Login Password = Kranthi@25
Canara Bank Internet banking Transaction Password=Sneha@2014
Union Bank Internet banking Transaction Password=Sneha#2014
Union Bank Internet banking Login Password = Kranthi@08
Union bank mobile banking Transaction password = 2507</t>
  </si>
  <si>
    <t>HDFC credit card pin 9756, 
HDFC Bank Credit Card Login ID : kranthi484
Password : Radhika@08
HDFC BANK Account number: 50100725557437
HDFC BANK customer ID: 285557064
HDFC BANK LOAN Account number: 702803580
HDFC Home Loan insurance Number:693670545</t>
  </si>
  <si>
    <t>LIC user password - Snehapriya#2014</t>
  </si>
  <si>
    <t>Axis Bank Password : Kranthikumar#2026</t>
  </si>
  <si>
    <t xml:space="preserve">DB Service User ID:
app_pharmacy_automate 
p5R%uYvg2pJERn
https://domanirx.atlassian.net/browse/PSAUT-18596
 </t>
  </si>
  <si>
    <t>JIRA user name - kranthi.kondaveeti@sscinc.com / Kranthikumar@2026
y#qt4KFonexwzH</t>
  </si>
  <si>
    <t>cibil portal user name: kranthi.kumar@gmail /Snehapriya#2014</t>
  </si>
  <si>
    <t>RxNova Password: Jun@2026, changed on 19 th May 2026</t>
  </si>
  <si>
    <t xml:space="preserve">MainFrame TSO Password : xcv@2026 - updated on 19 th May 2026
Srinu Babu user password: ujm1mju2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</si>
</sst>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 style="thin">
        <color indexed="64"/>
      </right>
      <top style="medium">
        <color rgb="FFC00000"/>
      </top>
      <bottom style="thin">
        <color indexed="64"/>
      </bottom>
      <diagonal/>
    </border>
    <border>
      <left style="thin">
        <color indexed="64"/>
      </left>
      <right style="medium">
        <color rgb="FFC00000"/>
      </right>
      <top style="medium">
        <color rgb="FFC00000"/>
      </top>
      <bottom style="thin">
        <color indexed="64"/>
      </bottom>
      <diagonal/>
    </border>
    <border>
      <left style="medium">
        <color rgb="FFC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 style="thin">
        <color indexed="64"/>
      </right>
      <top style="thin">
        <color indexed="64"/>
      </top>
      <bottom style="medium">
        <color rgb="FFC00000"/>
      </bottom>
      <diagonal/>
    </border>
    <border>
      <left style="thin">
        <color indexed="64"/>
      </left>
      <right style="medium">
        <color rgb="FFC00000"/>
      </right>
      <top style="thin">
        <color indexed="64"/>
      </top>
      <bottom style="medium">
        <color rgb="FFC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6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left"/>
    </xf>
    <xf numFmtId="0" fontId="0" fillId="0" borderId="1" xfId="0" applyFill="1" applyBorder="1"/>
    <xf numFmtId="0" fontId="0" fillId="0" borderId="1" xfId="0" applyBorder="1" applyAlignment="1">
      <alignment horizontal="left"/>
    </xf>
    <xf numFmtId="0" fontId="0" fillId="0" borderId="10" xfId="0" applyFill="1" applyBorder="1"/>
    <xf numFmtId="0" fontId="0" fillId="0" borderId="11" xfId="0" applyFill="1" applyBorder="1"/>
    <xf numFmtId="0" fontId="0" fillId="0" borderId="16" xfId="0" applyBorder="1"/>
    <xf numFmtId="0" fontId="0" fillId="0" borderId="19" xfId="0" applyBorder="1"/>
    <xf numFmtId="0" fontId="0" fillId="0" borderId="20" xfId="0" applyBorder="1" applyAlignment="1">
      <alignment horizontal="left"/>
    </xf>
    <xf numFmtId="0" fontId="0" fillId="0" borderId="17" xfId="0" applyBorder="1"/>
    <xf numFmtId="0" fontId="0" fillId="0" borderId="0" xfId="0"/>
    <xf numFmtId="0" fontId="0" fillId="0" borderId="1" xfId="0" applyBorder="1"/>
    <xf numFmtId="0" fontId="0" fillId="0" borderId="1" xfId="0" quotePrefix="1" applyFill="1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Border="1" applyAlignment="1"/>
    <xf numFmtId="0" fontId="0" fillId="0" borderId="1" xfId="0" applyBorder="1"/>
    <xf numFmtId="0" fontId="0" fillId="0" borderId="0" xfId="0" applyBorder="1"/>
    <xf numFmtId="0" fontId="0" fillId="0" borderId="1" xfId="0" quotePrefix="1" applyBorder="1" applyAlignment="1">
      <alignment horizontal="left"/>
    </xf>
    <xf numFmtId="0" fontId="0" fillId="0" borderId="0" xfId="0" quotePrefix="1" applyBorder="1"/>
    <xf numFmtId="0" fontId="0" fillId="0" borderId="1" xfId="0" applyBorder="1"/>
    <xf numFmtId="0" fontId="0" fillId="0" borderId="1" xfId="0" applyBorder="1"/>
    <xf numFmtId="0" fontId="0" fillId="0" borderId="0" xfId="0" applyBorder="1"/>
    <xf numFmtId="0" fontId="0" fillId="2" borderId="1" xfId="0" quotePrefix="1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0" fontId="0" fillId="0" borderId="0" xfId="0" applyBorder="1"/>
    <xf numFmtId="0" fontId="0" fillId="0" borderId="1" xfId="0" quotePrefix="1" applyBorder="1"/>
    <xf numFmtId="0" fontId="0" fillId="0" borderId="1" xfId="0" applyBorder="1"/>
    <xf numFmtId="0" fontId="0" fillId="0" borderId="0" xfId="0" applyBorder="1"/>
    <xf numFmtId="0" fontId="0" fillId="0" borderId="1" xfId="0" quotePrefix="1" applyBorder="1"/>
    <xf numFmtId="0" fontId="0" fillId="0" borderId="1" xfId="0" applyBorder="1"/>
    <xf numFmtId="0" fontId="0" fillId="0" borderId="0" xfId="0" applyBorder="1"/>
    <xf numFmtId="16" fontId="0" fillId="0" borderId="1" xfId="0" quotePrefix="1" applyNumberFormat="1" applyFill="1" applyBorder="1"/>
    <xf numFmtId="16" fontId="0" fillId="0" borderId="1" xfId="0" quotePrefix="1" applyNumberFormat="1" applyFill="1" applyBorder="1" applyAlignment="1">
      <alignment horizontal="left"/>
    </xf>
    <xf numFmtId="0" fontId="0" fillId="0" borderId="1" xfId="0" applyBorder="1"/>
    <xf numFmtId="0" fontId="1" fillId="2" borderId="0" xfId="0" applyFont="1" applyFill="1"/>
    <xf numFmtId="0" fontId="0" fillId="0" borderId="1" xfId="0" applyBorder="1" applyAlignment="1">
      <alignment horizontal="center"/>
    </xf>
    <xf numFmtId="0" fontId="0" fillId="0" borderId="1" xfId="0" quotePrefix="1" applyFill="1" applyBorder="1"/>
    <xf numFmtId="4" fontId="0" fillId="0" borderId="1" xfId="0" applyNumberFormat="1" applyFill="1" applyBorder="1" applyAlignment="1">
      <alignment horizontal="left"/>
    </xf>
    <xf numFmtId="0" fontId="0" fillId="0" borderId="1" xfId="0" applyBorder="1"/>
    <xf numFmtId="0" fontId="0" fillId="0" borderId="0" xfId="0" applyBorder="1"/>
    <xf numFmtId="16" fontId="0" fillId="0" borderId="1" xfId="0" quotePrefix="1" applyNumberFormat="1" applyFill="1" applyBorder="1"/>
    <xf numFmtId="3" fontId="0" fillId="0" borderId="1" xfId="0" quotePrefix="1" applyNumberFormat="1" applyFill="1" applyBorder="1" applyAlignment="1">
      <alignment horizontal="left"/>
    </xf>
    <xf numFmtId="0" fontId="0" fillId="0" borderId="1" xfId="0" quotePrefix="1" applyFill="1" applyBorder="1"/>
    <xf numFmtId="4" fontId="0" fillId="0" borderId="1" xfId="0" quotePrefix="1" applyNumberFormat="1" applyFill="1" applyBorder="1" applyAlignment="1">
      <alignment horizontal="left"/>
    </xf>
    <xf numFmtId="0" fontId="0" fillId="2" borderId="0" xfId="0" quotePrefix="1" applyFill="1"/>
    <xf numFmtId="0" fontId="0" fillId="0" borderId="1" xfId="0" quotePrefix="1" applyFill="1" applyBorder="1"/>
    <xf numFmtId="0" fontId="0" fillId="0" borderId="0" xfId="0" applyBorder="1"/>
    <xf numFmtId="0" fontId="0" fillId="0" borderId="1" xfId="0" applyBorder="1"/>
    <xf numFmtId="16" fontId="0" fillId="0" borderId="1" xfId="0" quotePrefix="1" applyNumberFormat="1" applyFill="1" applyBorder="1"/>
    <xf numFmtId="0" fontId="0" fillId="0" borderId="1" xfId="0" quotePrefix="1" applyFill="1" applyBorder="1"/>
    <xf numFmtId="0" fontId="0" fillId="2" borderId="1" xfId="0" quotePrefix="1" applyFill="1" applyBorder="1"/>
    <xf numFmtId="3" fontId="0" fillId="3" borderId="1" xfId="0" quotePrefix="1" applyNumberFormat="1" applyFill="1" applyBorder="1" applyAlignment="1">
      <alignment horizontal="left"/>
    </xf>
    <xf numFmtId="0" fontId="0" fillId="3" borderId="1" xfId="0" quotePrefix="1" applyFill="1" applyBorder="1"/>
    <xf numFmtId="0" fontId="0" fillId="3" borderId="1" xfId="0" quotePrefix="1" applyFill="1" applyBorder="1" applyAlignment="1">
      <alignment horizontal="left"/>
    </xf>
    <xf numFmtId="16" fontId="0" fillId="3" borderId="1" xfId="0" quotePrefix="1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" fontId="0" fillId="3" borderId="1" xfId="0" quotePrefix="1" applyNumberFormat="1" applyFill="1" applyBorder="1" applyAlignment="1">
      <alignment horizontal="left"/>
    </xf>
    <xf numFmtId="16" fontId="0" fillId="3" borderId="1" xfId="0" quotePrefix="1" applyNumberFormat="1" applyFill="1" applyBorder="1"/>
    <xf numFmtId="0" fontId="0" fillId="3" borderId="1" xfId="0" applyFill="1" applyBorder="1"/>
    <xf numFmtId="0" fontId="0" fillId="0" borderId="1" xfId="0" applyFill="1" applyBorder="1"/>
    <xf numFmtId="16" fontId="0" fillId="0" borderId="1" xfId="0" quotePrefix="1" applyNumberFormat="1" applyFill="1" applyBorder="1"/>
    <xf numFmtId="0" fontId="0" fillId="0" borderId="1" xfId="0" quotePrefix="1" applyFill="1" applyBorder="1"/>
    <xf numFmtId="0" fontId="0" fillId="0" borderId="1" xfId="0" applyFill="1" applyBorder="1" applyAlignment="1">
      <alignment horizontal="left"/>
    </xf>
    <xf numFmtId="0" fontId="0" fillId="0" borderId="0" xfId="0" applyFill="1"/>
    <xf numFmtId="0" fontId="0" fillId="0" borderId="0" xfId="0" applyFill="1" applyBorder="1"/>
    <xf numFmtId="0" fontId="0" fillId="0" borderId="0" xfId="0" quotePrefix="1" applyFill="1" applyBorder="1"/>
    <xf numFmtId="0" fontId="0" fillId="0" borderId="0" xfId="0" applyFill="1" applyBorder="1" applyAlignment="1"/>
    <xf numFmtId="0" fontId="0" fillId="0" borderId="0" xfId="0" applyFill="1" applyBorder="1" applyAlignment="1">
      <alignment horizontal="left"/>
    </xf>
    <xf numFmtId="0" fontId="0" fillId="0" borderId="1" xfId="0" quotePrefix="1" applyFill="1" applyBorder="1" applyAlignment="1">
      <alignment horizontal="center" vertical="center"/>
    </xf>
    <xf numFmtId="3" fontId="0" fillId="0" borderId="1" xfId="0" quotePrefix="1" applyNumberFormat="1" applyFill="1" applyBorder="1" applyAlignment="1">
      <alignment horizontal="center" vertical="center"/>
    </xf>
    <xf numFmtId="4" fontId="0" fillId="0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quotePrefix="1" applyFill="1" applyBorder="1"/>
    <xf numFmtId="0" fontId="0" fillId="4" borderId="1" xfId="0" quotePrefix="1" applyFill="1" applyBorder="1" applyAlignment="1">
      <alignment horizontal="center" vertical="center"/>
    </xf>
    <xf numFmtId="4" fontId="0" fillId="4" borderId="1" xfId="0" quotePrefix="1" applyNumberFormat="1" applyFill="1" applyBorder="1" applyAlignment="1">
      <alignment horizontal="left" vertical="center"/>
    </xf>
    <xf numFmtId="0" fontId="0" fillId="4" borderId="1" xfId="0" quotePrefix="1" applyFill="1" applyBorder="1" applyAlignment="1">
      <alignment horizontal="left"/>
    </xf>
    <xf numFmtId="16" fontId="0" fillId="4" borderId="1" xfId="0" quotePrefix="1" applyNumberFormat="1" applyFill="1" applyBorder="1" applyAlignment="1">
      <alignment horizontal="left"/>
    </xf>
    <xf numFmtId="0" fontId="0" fillId="4" borderId="1" xfId="0" quotePrefix="1" applyFill="1" applyBorder="1" applyAlignment="1">
      <alignment horizontal="left" vertical="center"/>
    </xf>
    <xf numFmtId="0" fontId="0" fillId="0" borderId="1" xfId="0" applyFill="1" applyBorder="1"/>
    <xf numFmtId="16" fontId="0" fillId="0" borderId="1" xfId="0" quotePrefix="1" applyNumberFormat="1" applyFill="1" applyBorder="1"/>
    <xf numFmtId="0" fontId="0" fillId="0" borderId="1" xfId="0" quotePrefix="1" applyFill="1" applyBorder="1"/>
    <xf numFmtId="16" fontId="0" fillId="0" borderId="1" xfId="0" quotePrefix="1" applyNumberForma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16" fontId="0" fillId="0" borderId="22" xfId="0" quotePrefix="1" applyNumberFormat="1" applyFill="1" applyBorder="1" applyAlignment="1">
      <alignment horizontal="left"/>
    </xf>
    <xf numFmtId="16" fontId="0" fillId="0" borderId="23" xfId="0" quotePrefix="1" applyNumberFormat="1" applyFill="1" applyBorder="1" applyAlignment="1">
      <alignment horizontal="left"/>
    </xf>
    <xf numFmtId="16" fontId="0" fillId="0" borderId="24" xfId="0" quotePrefix="1" applyNumberFormat="1" applyFill="1" applyBorder="1" applyAlignment="1">
      <alignment horizontal="left"/>
    </xf>
    <xf numFmtId="0" fontId="0" fillId="0" borderId="1" xfId="0" quotePrefix="1" applyFill="1" applyBorder="1" applyAlignment="1">
      <alignment horizontal="left"/>
    </xf>
    <xf numFmtId="0" fontId="0" fillId="4" borderId="1" xfId="0" quotePrefix="1" applyFill="1" applyBorder="1" applyAlignment="1">
      <alignment horizontal="left"/>
    </xf>
    <xf numFmtId="0" fontId="0" fillId="0" borderId="1" xfId="0" quotePrefix="1" applyFill="1" applyBorder="1" applyAlignment="1">
      <alignment horizontal="left" vertical="center"/>
    </xf>
    <xf numFmtId="4" fontId="0" fillId="0" borderId="1" xfId="0" quotePrefix="1" applyNumberFormat="1" applyFill="1" applyBorder="1" applyAlignment="1">
      <alignment horizontal="left" vertical="center"/>
    </xf>
    <xf numFmtId="4" fontId="0" fillId="0" borderId="1" xfId="0" applyNumberFormat="1" applyFill="1" applyBorder="1" applyAlignment="1">
      <alignment horizontal="left" vertical="center"/>
    </xf>
    <xf numFmtId="0" fontId="0" fillId="0" borderId="1" xfId="0" applyFill="1" applyBorder="1"/>
    <xf numFmtId="16" fontId="0" fillId="0" borderId="1" xfId="0" quotePrefix="1" applyNumberFormat="1" applyFill="1" applyBorder="1"/>
    <xf numFmtId="0" fontId="0" fillId="0" borderId="1" xfId="0" quotePrefix="1" applyFill="1" applyBorder="1"/>
    <xf numFmtId="16" fontId="0" fillId="0" borderId="1" xfId="0" quotePrefix="1" applyNumberFormat="1" applyFill="1" applyBorder="1" applyAlignment="1">
      <alignment horizontal="left"/>
    </xf>
    <xf numFmtId="0" fontId="0" fillId="0" borderId="1" xfId="0" quotePrefix="1" applyFill="1" applyBorder="1" applyAlignment="1">
      <alignment horizontal="left"/>
    </xf>
    <xf numFmtId="16" fontId="0" fillId="0" borderId="1" xfId="0" quotePrefix="1" applyNumberFormat="1" applyFill="1" applyBorder="1" applyAlignment="1">
      <alignment horizontal="left"/>
    </xf>
    <xf numFmtId="0" fontId="0" fillId="0" borderId="1" xfId="0" quotePrefix="1" applyFill="1" applyBorder="1" applyAlignment="1">
      <alignment horizontal="left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/>
    <xf numFmtId="0" fontId="0" fillId="0" borderId="1" xfId="0" quotePrefix="1" applyFill="1" applyBorder="1"/>
    <xf numFmtId="16" fontId="0" fillId="0" borderId="1" xfId="0" quotePrefix="1" applyNumberFormat="1" applyFill="1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14" fontId="0" fillId="0" borderId="0" xfId="0" quotePrefix="1" applyNumberFormat="1"/>
    <xf numFmtId="0" fontId="0" fillId="0" borderId="0" xfId="0" quotePrefix="1"/>
    <xf numFmtId="0" fontId="1" fillId="0" borderId="1" xfId="0" applyFont="1" applyBorder="1" applyAlignment="1">
      <alignment wrapText="1"/>
    </xf>
    <xf numFmtId="0" fontId="1" fillId="0" borderId="1" xfId="0" quotePrefix="1" applyFont="1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4" borderId="1" xfId="0" quotePrefix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16" fontId="0" fillId="2" borderId="1" xfId="0" quotePrefix="1" applyNumberFormat="1" applyFill="1" applyBorder="1"/>
    <xf numFmtId="16" fontId="0" fillId="2" borderId="1" xfId="0" quotePrefix="1" applyNumberFormat="1" applyFill="1" applyBorder="1" applyAlignment="1">
      <alignment horizontal="left"/>
    </xf>
    <xf numFmtId="16" fontId="0" fillId="0" borderId="1" xfId="0" quotePrefix="1" applyNumberFormat="1" applyFill="1" applyBorder="1" applyAlignment="1">
      <alignment horizontal="left"/>
    </xf>
    <xf numFmtId="0" fontId="0" fillId="0" borderId="1" xfId="0" quotePrefix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16" fontId="0" fillId="3" borderId="1" xfId="0" quotePrefix="1" applyNumberFormat="1" applyFill="1" applyBorder="1" applyAlignment="1">
      <alignment horizontal="left"/>
    </xf>
    <xf numFmtId="16" fontId="0" fillId="0" borderId="22" xfId="0" quotePrefix="1" applyNumberFormat="1" applyFill="1" applyBorder="1" applyAlignment="1">
      <alignment horizontal="left"/>
    </xf>
    <xf numFmtId="16" fontId="0" fillId="0" borderId="23" xfId="0" quotePrefix="1" applyNumberFormat="1" applyFill="1" applyBorder="1" applyAlignment="1">
      <alignment horizontal="left"/>
    </xf>
    <xf numFmtId="16" fontId="0" fillId="0" borderId="24" xfId="0" quotePrefix="1" applyNumberFormat="1" applyFill="1" applyBorder="1" applyAlignment="1">
      <alignment horizontal="left"/>
    </xf>
    <xf numFmtId="0" fontId="0" fillId="0" borderId="1" xfId="0" quotePrefix="1" applyFill="1" applyBorder="1" applyAlignment="1">
      <alignment horizontal="left"/>
    </xf>
    <xf numFmtId="16" fontId="0" fillId="3" borderId="1" xfId="0" quotePrefix="1" applyNumberFormat="1" applyFill="1" applyBorder="1" applyAlignment="1">
      <alignment horizontal="left"/>
    </xf>
    <xf numFmtId="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" fontId="0" fillId="3" borderId="1" xfId="0" quotePrefix="1" applyNumberFormat="1" applyFill="1" applyBorder="1" applyAlignment="1">
      <alignment horizontal="left"/>
    </xf>
    <xf numFmtId="4" fontId="0" fillId="0" borderId="0" xfId="0" applyNumberFormat="1"/>
    <xf numFmtId="16" fontId="0" fillId="3" borderId="1" xfId="0" quotePrefix="1" applyNumberForma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16" fontId="0" fillId="0" borderId="22" xfId="0" quotePrefix="1" applyNumberFormat="1" applyFill="1" applyBorder="1" applyAlignment="1">
      <alignment horizontal="left"/>
    </xf>
    <xf numFmtId="16" fontId="0" fillId="0" borderId="23" xfId="0" quotePrefix="1" applyNumberFormat="1" applyFill="1" applyBorder="1" applyAlignment="1">
      <alignment horizontal="left"/>
    </xf>
    <xf numFmtId="16" fontId="0" fillId="0" borderId="24" xfId="0" quotePrefix="1" applyNumberFormat="1" applyFill="1" applyBorder="1" applyAlignment="1">
      <alignment horizontal="left"/>
    </xf>
    <xf numFmtId="0" fontId="0" fillId="0" borderId="1" xfId="0" quotePrefix="1" applyFill="1" applyBorder="1" applyAlignment="1">
      <alignment horizontal="left"/>
    </xf>
    <xf numFmtId="16" fontId="0" fillId="4" borderId="1" xfId="0" quotePrefix="1" applyNumberFormat="1" applyFill="1" applyBorder="1" applyAlignment="1">
      <alignment horizontal="left"/>
    </xf>
    <xf numFmtId="16" fontId="0" fillId="4" borderId="1" xfId="0" quotePrefix="1" applyNumberFormat="1" applyFill="1" applyBorder="1" applyAlignment="1">
      <alignment horizontal="left"/>
    </xf>
    <xf numFmtId="0" fontId="0" fillId="4" borderId="1" xfId="0" quotePrefix="1" applyFill="1" applyBorder="1" applyAlignment="1">
      <alignment horizontal="left"/>
    </xf>
    <xf numFmtId="16" fontId="0" fillId="4" borderId="1" xfId="0" quotePrefix="1" applyNumberFormat="1" applyFill="1" applyBorder="1" applyAlignment="1">
      <alignment horizontal="left"/>
    </xf>
    <xf numFmtId="16" fontId="0" fillId="4" borderId="1" xfId="0" quotePrefix="1" applyNumberForma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4" fontId="0" fillId="4" borderId="1" xfId="0" applyNumberForma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quotePrefix="1" applyFont="1" applyFill="1" applyBorder="1" applyAlignment="1">
      <alignment horizontal="left"/>
    </xf>
    <xf numFmtId="0" fontId="0" fillId="4" borderId="1" xfId="0" quotePrefix="1" applyFill="1" applyBorder="1" applyAlignment="1">
      <alignment horizontal="left"/>
    </xf>
    <xf numFmtId="16" fontId="0" fillId="4" borderId="1" xfId="0" quotePrefix="1" applyNumberForma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6" fillId="0" borderId="1" xfId="0" applyFont="1" applyFill="1" applyBorder="1" applyAlignment="1">
      <alignment horizontal="left"/>
    </xf>
    <xf numFmtId="16" fontId="6" fillId="0" borderId="1" xfId="0" quotePrefix="1" applyNumberFormat="1" applyFont="1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Border="1" applyAlignment="1">
      <alignment horizontal="left" wrapText="1"/>
    </xf>
    <xf numFmtId="16" fontId="0" fillId="0" borderId="1" xfId="0" quotePrefix="1" applyNumberForma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16" fontId="0" fillId="4" borderId="22" xfId="0" quotePrefix="1" applyNumberFormat="1" applyFill="1" applyBorder="1" applyAlignment="1">
      <alignment horizontal="left"/>
    </xf>
    <xf numFmtId="0" fontId="0" fillId="0" borderId="1" xfId="0" quotePrefix="1" applyFill="1" applyBorder="1" applyAlignment="1">
      <alignment horizontal="left"/>
    </xf>
    <xf numFmtId="0" fontId="0" fillId="4" borderId="1" xfId="0" quotePrefix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16" fontId="0" fillId="4" borderId="1" xfId="0" quotePrefix="1" applyNumberForma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0" fillId="4" borderId="22" xfId="0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16" fontId="6" fillId="4" borderId="1" xfId="0" quotePrefix="1" applyNumberFormat="1" applyFont="1" applyFill="1" applyBorder="1" applyAlignment="1">
      <alignment horizontal="left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16" fontId="0" fillId="0" borderId="1" xfId="0" quotePrefix="1" applyNumberForma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16" fontId="0" fillId="4" borderId="1" xfId="0" quotePrefix="1" applyNumberFormat="1" applyFill="1" applyBorder="1" applyAlignment="1">
      <alignment horizontal="left"/>
    </xf>
    <xf numFmtId="0" fontId="0" fillId="4" borderId="22" xfId="0" applyFill="1" applyBorder="1" applyAlignment="1">
      <alignment horizontal="left"/>
    </xf>
    <xf numFmtId="4" fontId="0" fillId="4" borderId="1" xfId="0" applyNumberForma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/>
    </xf>
    <xf numFmtId="16" fontId="0" fillId="0" borderId="1" xfId="0" quotePrefix="1" applyNumberFormat="1" applyFill="1" applyBorder="1" applyAlignment="1">
      <alignment horizontal="left" wrapText="1"/>
    </xf>
    <xf numFmtId="0" fontId="0" fillId="0" borderId="1" xfId="0" applyFill="1" applyBorder="1" applyAlignment="1">
      <alignment horizontal="left" vertical="top"/>
    </xf>
    <xf numFmtId="4" fontId="0" fillId="0" borderId="1" xfId="0" quotePrefix="1" applyNumberForma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/>
    </xf>
    <xf numFmtId="16" fontId="0" fillId="4" borderId="1" xfId="0" quotePrefix="1" applyNumberFormat="1" applyFill="1" applyBorder="1" applyAlignment="1">
      <alignment horizontal="left"/>
    </xf>
    <xf numFmtId="16" fontId="0" fillId="4" borderId="1" xfId="0" quotePrefix="1" applyNumberFormat="1" applyFill="1" applyBorder="1" applyAlignment="1">
      <alignment horizontal="left" wrapText="1"/>
    </xf>
    <xf numFmtId="0" fontId="0" fillId="0" borderId="0" xfId="0" applyAlignment="1">
      <alignment horizontal="center" wrapText="1"/>
    </xf>
    <xf numFmtId="16" fontId="0" fillId="0" borderId="1" xfId="0" quotePrefix="1" applyNumberFormat="1" applyFill="1" applyBorder="1" applyAlignment="1">
      <alignment horizontal="left"/>
    </xf>
    <xf numFmtId="0" fontId="0" fillId="0" borderId="1" xfId="0" quotePrefix="1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center"/>
    </xf>
    <xf numFmtId="0" fontId="0" fillId="4" borderId="5" xfId="0" applyFill="1" applyBorder="1" applyAlignment="1">
      <alignment horizontal="left"/>
    </xf>
    <xf numFmtId="16" fontId="0" fillId="0" borderId="6" xfId="0" quotePrefix="1" applyNumberFormat="1" applyFill="1" applyBorder="1" applyAlignment="1">
      <alignment horizontal="left"/>
    </xf>
    <xf numFmtId="0" fontId="0" fillId="0" borderId="5" xfId="0" applyFill="1" applyBorder="1" applyAlignment="1">
      <alignment horizontal="left"/>
    </xf>
    <xf numFmtId="16" fontId="0" fillId="0" borderId="6" xfId="0" quotePrefix="1" applyNumberFormat="1" applyFill="1" applyBorder="1" applyAlignment="1">
      <alignment horizontal="left" wrapText="1"/>
    </xf>
    <xf numFmtId="16" fontId="6" fillId="0" borderId="6" xfId="0" quotePrefix="1" applyNumberFormat="1" applyFont="1" applyFill="1" applyBorder="1" applyAlignment="1">
      <alignment horizontal="left"/>
    </xf>
    <xf numFmtId="16" fontId="0" fillId="4" borderId="5" xfId="0" quotePrefix="1" applyNumberFormat="1" applyFill="1" applyBorder="1" applyAlignment="1">
      <alignment horizontal="left"/>
    </xf>
    <xf numFmtId="0" fontId="0" fillId="0" borderId="31" xfId="0" applyFill="1" applyBorder="1" applyAlignment="1">
      <alignment horizontal="left"/>
    </xf>
    <xf numFmtId="0" fontId="0" fillId="0" borderId="32" xfId="0" applyFill="1" applyBorder="1" applyAlignment="1">
      <alignment horizontal="center"/>
    </xf>
    <xf numFmtId="16" fontId="0" fillId="0" borderId="32" xfId="0" quotePrefix="1" applyNumberFormat="1" applyFill="1" applyBorder="1" applyAlignment="1">
      <alignment horizontal="left"/>
    </xf>
    <xf numFmtId="0" fontId="0" fillId="0" borderId="33" xfId="0" applyFill="1" applyBorder="1" applyAlignment="1">
      <alignment horizontal="left"/>
    </xf>
    <xf numFmtId="0" fontId="0" fillId="4" borderId="5" xfId="0" applyFill="1" applyBorder="1" applyAlignment="1">
      <alignment horizontal="left" vertical="top"/>
    </xf>
    <xf numFmtId="4" fontId="0" fillId="4" borderId="1" xfId="0" quotePrefix="1" applyNumberFormat="1" applyFill="1" applyBorder="1" applyAlignment="1">
      <alignment horizontal="left" vertical="top" wrapText="1"/>
    </xf>
    <xf numFmtId="0" fontId="6" fillId="4" borderId="5" xfId="0" applyFont="1" applyFill="1" applyBorder="1" applyAlignment="1">
      <alignment horizontal="left"/>
    </xf>
    <xf numFmtId="0" fontId="0" fillId="0" borderId="1" xfId="0" applyBorder="1"/>
    <xf numFmtId="16" fontId="0" fillId="0" borderId="1" xfId="0" quotePrefix="1" applyNumberForma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quotePrefix="1" applyFill="1" applyBorder="1" applyAlignment="1">
      <alignment horizontal="left"/>
    </xf>
    <xf numFmtId="0" fontId="0" fillId="0" borderId="0" xfId="0" applyAlignment="1">
      <alignment horizontal="center" wrapText="1"/>
    </xf>
    <xf numFmtId="16" fontId="0" fillId="0" borderId="5" xfId="0" quotePrefix="1" applyNumberFormat="1" applyFill="1" applyBorder="1" applyAlignment="1">
      <alignment horizontal="left"/>
    </xf>
    <xf numFmtId="0" fontId="6" fillId="0" borderId="5" xfId="0" applyFont="1" applyFill="1" applyBorder="1" applyAlignment="1">
      <alignment horizontal="left"/>
    </xf>
    <xf numFmtId="0" fontId="0" fillId="0" borderId="7" xfId="0" applyFill="1" applyBorder="1" applyAlignment="1">
      <alignment horizontal="left"/>
    </xf>
    <xf numFmtId="16" fontId="0" fillId="0" borderId="8" xfId="0" quotePrefix="1" applyNumberFormat="1" applyFill="1" applyBorder="1" applyAlignment="1">
      <alignment horizontal="left"/>
    </xf>
    <xf numFmtId="0" fontId="0" fillId="0" borderId="9" xfId="0" applyFill="1" applyBorder="1" applyAlignment="1">
      <alignment horizontal="left"/>
    </xf>
    <xf numFmtId="0" fontId="0" fillId="0" borderId="8" xfId="0" applyFill="1" applyBorder="1" applyAlignment="1">
      <alignment horizontal="left"/>
    </xf>
    <xf numFmtId="16" fontId="0" fillId="4" borderId="6" xfId="0" quotePrefix="1" applyNumberFormat="1" applyFill="1" applyBorder="1" applyAlignment="1">
      <alignment horizontal="left"/>
    </xf>
    <xf numFmtId="0" fontId="0" fillId="0" borderId="1" xfId="0" applyBorder="1"/>
    <xf numFmtId="16" fontId="0" fillId="0" borderId="1" xfId="0" quotePrefix="1" applyNumberForma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quotePrefix="1" applyFill="1" applyBorder="1" applyAlignment="1">
      <alignment horizontal="left"/>
    </xf>
    <xf numFmtId="0" fontId="0" fillId="0" borderId="0" xfId="0" applyAlignment="1">
      <alignment horizontal="center" wrapText="1"/>
    </xf>
    <xf numFmtId="16" fontId="0" fillId="2" borderId="1" xfId="0" quotePrefix="1" applyNumberFormat="1" applyFill="1" applyBorder="1" applyAlignment="1">
      <alignment horizontal="left" wrapText="1"/>
    </xf>
    <xf numFmtId="0" fontId="6" fillId="2" borderId="5" xfId="0" applyFont="1" applyFill="1" applyBorder="1" applyAlignment="1">
      <alignment horizontal="left"/>
    </xf>
    <xf numFmtId="4" fontId="0" fillId="2" borderId="1" xfId="0" quotePrefix="1" applyNumberFormat="1" applyFill="1" applyBorder="1" applyAlignment="1">
      <alignment horizontal="left" vertical="top" wrapText="1"/>
    </xf>
    <xf numFmtId="16" fontId="6" fillId="2" borderId="6" xfId="0" quotePrefix="1" applyNumberFormat="1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16" fontId="0" fillId="4" borderId="1" xfId="0" quotePrefix="1" applyNumberFormat="1" applyFill="1" applyBorder="1" applyAlignment="1">
      <alignment horizontal="left"/>
    </xf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16" fontId="0" fillId="4" borderId="1" xfId="0" quotePrefix="1" applyNumberFormat="1" applyFill="1" applyBorder="1" applyAlignment="1">
      <alignment horizontal="left"/>
    </xf>
    <xf numFmtId="16" fontId="0" fillId="2" borderId="1" xfId="0" quotePrefix="1" applyNumberForma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center" wrapText="1"/>
    </xf>
    <xf numFmtId="0" fontId="0" fillId="0" borderId="0" xfId="0" applyFill="1" applyBorder="1" applyAlignment="1">
      <alignment wrapText="1"/>
    </xf>
    <xf numFmtId="0" fontId="0" fillId="4" borderId="1" xfId="0" applyFill="1" applyBorder="1" applyAlignment="1">
      <alignment horizontal="left"/>
    </xf>
    <xf numFmtId="16" fontId="0" fillId="0" borderId="1" xfId="0" quotePrefix="1" applyNumberFormat="1" applyFill="1" applyBorder="1" applyAlignment="1">
      <alignment horizontal="center" wrapText="1"/>
    </xf>
    <xf numFmtId="16" fontId="0" fillId="0" borderId="1" xfId="0" quotePrefix="1" applyNumberFormat="1" applyFill="1" applyBorder="1" applyAlignment="1">
      <alignment horizontal="center"/>
    </xf>
    <xf numFmtId="4" fontId="0" fillId="2" borderId="1" xfId="0" quotePrefix="1" applyNumberFormat="1" applyFill="1" applyBorder="1" applyAlignment="1">
      <alignment horizontal="center" vertical="center"/>
    </xf>
    <xf numFmtId="16" fontId="0" fillId="2" borderId="1" xfId="0" quotePrefix="1" applyNumberFormat="1" applyFill="1" applyBorder="1" applyAlignment="1">
      <alignment horizontal="center" wrapText="1"/>
    </xf>
    <xf numFmtId="16" fontId="0" fillId="2" borderId="1" xfId="0" quotePrefix="1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quotePrefix="1" applyFill="1" applyBorder="1" applyAlignment="1">
      <alignment horizontal="center"/>
    </xf>
    <xf numFmtId="16" fontId="0" fillId="4" borderId="1" xfId="0" quotePrefix="1" applyNumberFormat="1" applyFill="1" applyBorder="1" applyAlignment="1">
      <alignment horizontal="center" wrapText="1"/>
    </xf>
    <xf numFmtId="0" fontId="0" fillId="4" borderId="1" xfId="0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 vertical="top"/>
    </xf>
    <xf numFmtId="4" fontId="0" fillId="4" borderId="0" xfId="0" applyNumberFormat="1" applyFill="1" applyAlignment="1">
      <alignment horizontal="center"/>
    </xf>
    <xf numFmtId="16" fontId="0" fillId="4" borderId="1" xfId="0" quotePrefix="1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4" fontId="0" fillId="4" borderId="1" xfId="0" applyNumberFormat="1" applyFill="1" applyBorder="1" applyAlignment="1">
      <alignment horizontal="center" vertical="center"/>
    </xf>
    <xf numFmtId="4" fontId="0" fillId="4" borderId="1" xfId="0" quotePrefix="1" applyNumberFormat="1" applyFill="1" applyBorder="1" applyAlignment="1">
      <alignment horizontal="center" vertical="top" wrapText="1"/>
    </xf>
    <xf numFmtId="16" fontId="6" fillId="4" borderId="1" xfId="0" quotePrefix="1" applyNumberFormat="1" applyFont="1" applyFill="1" applyBorder="1" applyAlignment="1">
      <alignment horizontal="center"/>
    </xf>
    <xf numFmtId="0" fontId="0" fillId="0" borderId="1" xfId="0" applyFill="1" applyBorder="1"/>
    <xf numFmtId="16" fontId="0" fillId="0" borderId="1" xfId="0" quotePrefix="1" applyNumberForma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16" fontId="0" fillId="4" borderId="1" xfId="0" quotePrefix="1" applyNumberFormat="1" applyFill="1" applyBorder="1" applyAlignment="1">
      <alignment horizontal="left"/>
    </xf>
    <xf numFmtId="0" fontId="0" fillId="0" borderId="0" xfId="0" applyAlignment="1">
      <alignment horizontal="center" wrapText="1"/>
    </xf>
    <xf numFmtId="4" fontId="0" fillId="0" borderId="1" xfId="0" quotePrefix="1" applyNumberFormat="1" applyFill="1" applyBorder="1" applyAlignment="1">
      <alignment horizontal="center" vertical="center"/>
    </xf>
    <xf numFmtId="0" fontId="0" fillId="0" borderId="0" xfId="0" applyFill="1" applyAlignment="1">
      <alignment horizontal="left" wrapText="1"/>
    </xf>
    <xf numFmtId="0" fontId="0" fillId="0" borderId="0" xfId="0" applyFill="1" applyAlignment="1">
      <alignment horizontal="center" wrapText="1"/>
    </xf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left" wrapText="1"/>
    </xf>
    <xf numFmtId="0" fontId="0" fillId="0" borderId="0" xfId="0" applyFill="1" applyAlignment="1">
      <alignment wrapText="1"/>
    </xf>
    <xf numFmtId="0" fontId="0" fillId="0" borderId="1" xfId="0" quotePrefix="1" applyFill="1" applyBorder="1" applyAlignment="1">
      <alignment horizontal="center"/>
    </xf>
    <xf numFmtId="4" fontId="0" fillId="0" borderId="0" xfId="0" applyNumberFormat="1" applyFill="1" applyAlignment="1">
      <alignment horizontal="center" wrapText="1"/>
    </xf>
    <xf numFmtId="0" fontId="6" fillId="2" borderId="1" xfId="0" applyFont="1" applyFill="1" applyBorder="1" applyAlignment="1">
      <alignment horizontal="left"/>
    </xf>
    <xf numFmtId="4" fontId="0" fillId="2" borderId="1" xfId="0" quotePrefix="1" applyNumberFormat="1" applyFill="1" applyBorder="1" applyAlignment="1">
      <alignment horizontal="center" vertical="top" wrapText="1"/>
    </xf>
    <xf numFmtId="16" fontId="6" fillId="2" borderId="1" xfId="0" quotePrefix="1" applyNumberFormat="1" applyFont="1" applyFill="1" applyBorder="1" applyAlignment="1">
      <alignment horizontal="center"/>
    </xf>
    <xf numFmtId="0" fontId="0" fillId="0" borderId="1" xfId="0" applyFill="1" applyBorder="1"/>
    <xf numFmtId="16" fontId="0" fillId="0" borderId="1" xfId="0" quotePrefix="1" applyNumberForma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16" fontId="0" fillId="4" borderId="1" xfId="0" quotePrefix="1" applyNumberFormat="1" applyFill="1" applyBorder="1" applyAlignment="1">
      <alignment horizontal="left"/>
    </xf>
    <xf numFmtId="0" fontId="0" fillId="0" borderId="0" xfId="0" applyAlignment="1">
      <alignment horizontal="center" wrapText="1"/>
    </xf>
    <xf numFmtId="0" fontId="0" fillId="0" borderId="1" xfId="0" applyFill="1" applyBorder="1"/>
    <xf numFmtId="16" fontId="0" fillId="0" borderId="1" xfId="0" quotePrefix="1" applyNumberForma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16" fontId="0" fillId="4" borderId="1" xfId="0" quotePrefix="1" applyNumberFormat="1" applyFill="1" applyBorder="1" applyAlignment="1">
      <alignment horizontal="left"/>
    </xf>
    <xf numFmtId="0" fontId="0" fillId="0" borderId="0" xfId="0" applyAlignment="1">
      <alignment horizontal="center" wrapText="1"/>
    </xf>
    <xf numFmtId="16" fontId="0" fillId="0" borderId="1" xfId="0" applyNumberFormat="1" applyFill="1" applyBorder="1" applyAlignment="1">
      <alignment horizontal="center"/>
    </xf>
    <xf numFmtId="0" fontId="0" fillId="0" borderId="1" xfId="0" applyFill="1" applyBorder="1"/>
    <xf numFmtId="16" fontId="0" fillId="0" borderId="1" xfId="0" quotePrefix="1" applyNumberForma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16" fontId="0" fillId="4" borderId="1" xfId="0" quotePrefix="1" applyNumberFormat="1" applyFill="1" applyBorder="1" applyAlignment="1">
      <alignment horizontal="left"/>
    </xf>
    <xf numFmtId="0" fontId="0" fillId="0" borderId="0" xfId="0" applyAlignment="1">
      <alignment horizontal="center" wrapText="1"/>
    </xf>
    <xf numFmtId="0" fontId="0" fillId="4" borderId="1" xfId="0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4" fontId="0" fillId="4" borderId="1" xfId="0" quotePrefix="1" applyNumberFormat="1" applyFill="1" applyBorder="1" applyAlignment="1">
      <alignment horizontal="center" vertical="center"/>
    </xf>
    <xf numFmtId="4" fontId="0" fillId="4" borderId="0" xfId="0" applyNumberFormat="1" applyFill="1" applyAlignment="1">
      <alignment horizontal="center" wrapText="1"/>
    </xf>
    <xf numFmtId="0" fontId="0" fillId="0" borderId="1" xfId="0" applyFill="1" applyBorder="1"/>
    <xf numFmtId="16" fontId="0" fillId="0" borderId="1" xfId="0" quotePrefix="1" applyNumberForma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4" borderId="1" xfId="0" applyFill="1" applyBorder="1" applyAlignment="1">
      <alignment horizontal="left"/>
    </xf>
    <xf numFmtId="16" fontId="0" fillId="4" borderId="1" xfId="0" quotePrefix="1" applyNumberFormat="1" applyFill="1" applyBorder="1" applyAlignment="1">
      <alignment horizontal="left"/>
    </xf>
    <xf numFmtId="4" fontId="0" fillId="0" borderId="1" xfId="0" quotePrefix="1" applyNumberFormat="1" applyFill="1" applyBorder="1" applyAlignment="1">
      <alignment horizontal="center" vertical="top" wrapText="1"/>
    </xf>
    <xf numFmtId="16" fontId="6" fillId="0" borderId="1" xfId="0" quotePrefix="1" applyNumberFormat="1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Fill="1" applyBorder="1"/>
    <xf numFmtId="16" fontId="0" fillId="0" borderId="1" xfId="0" quotePrefix="1" applyNumberForma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16" fontId="0" fillId="4" borderId="1" xfId="0" quotePrefix="1" applyNumberFormat="1" applyFill="1" applyBorder="1" applyAlignment="1">
      <alignment horizontal="left"/>
    </xf>
    <xf numFmtId="0" fontId="0" fillId="0" borderId="0" xfId="0" applyAlignment="1">
      <alignment horizontal="center" wrapText="1"/>
    </xf>
    <xf numFmtId="0" fontId="0" fillId="0" borderId="1" xfId="0" applyFill="1" applyBorder="1"/>
    <xf numFmtId="16" fontId="0" fillId="0" borderId="1" xfId="0" quotePrefix="1" applyNumberForma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16" fontId="0" fillId="4" borderId="1" xfId="0" quotePrefix="1" applyNumberFormat="1" applyFill="1" applyBorder="1" applyAlignment="1">
      <alignment horizontal="left"/>
    </xf>
    <xf numFmtId="0" fontId="0" fillId="0" borderId="0" xfId="0" applyAlignment="1">
      <alignment horizontal="center" wrapText="1"/>
    </xf>
    <xf numFmtId="4" fontId="0" fillId="0" borderId="1" xfId="0" applyNumberFormat="1" applyFill="1" applyBorder="1" applyAlignment="1">
      <alignment horizontal="center" wrapText="1"/>
    </xf>
    <xf numFmtId="0" fontId="0" fillId="0" borderId="1" xfId="0" applyFill="1" applyBorder="1"/>
    <xf numFmtId="16" fontId="0" fillId="0" borderId="1" xfId="0" quotePrefix="1" applyNumberForma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16" fontId="0" fillId="4" borderId="1" xfId="0" quotePrefix="1" applyNumberFormat="1" applyFill="1" applyBorder="1" applyAlignment="1">
      <alignment horizontal="left"/>
    </xf>
    <xf numFmtId="0" fontId="0" fillId="0" borderId="0" xfId="0" applyAlignment="1">
      <alignment horizontal="center" wrapText="1"/>
    </xf>
    <xf numFmtId="4" fontId="0" fillId="0" borderId="0" xfId="0" quotePrefix="1" applyNumberFormat="1"/>
    <xf numFmtId="4" fontId="0" fillId="0" borderId="1" xfId="0" applyNumberFormat="1" applyFill="1" applyBorder="1" applyAlignment="1">
      <alignment horizontal="left" wrapText="1"/>
    </xf>
    <xf numFmtId="0" fontId="0" fillId="0" borderId="1" xfId="0" applyBorder="1"/>
    <xf numFmtId="0" fontId="0" fillId="0" borderId="1" xfId="0" applyBorder="1"/>
    <xf numFmtId="0" fontId="3" fillId="2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wrapText="1"/>
    </xf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18" xfId="0" applyFont="1" applyBorder="1"/>
    <xf numFmtId="0" fontId="1" fillId="0" borderId="19" xfId="0" applyFont="1" applyBorder="1"/>
    <xf numFmtId="0" fontId="0" fillId="0" borderId="1" xfId="0" applyBorder="1"/>
    <xf numFmtId="0" fontId="0" fillId="0" borderId="0" xfId="0" applyBorder="1"/>
    <xf numFmtId="0" fontId="0" fillId="0" borderId="21" xfId="0" applyBorder="1" applyAlignment="1">
      <alignment horizontal="center"/>
    </xf>
    <xf numFmtId="0" fontId="0" fillId="0" borderId="1" xfId="0" quotePrefix="1" applyBorder="1"/>
    <xf numFmtId="0" fontId="0" fillId="2" borderId="1" xfId="0" applyFill="1" applyBorder="1"/>
    <xf numFmtId="0" fontId="0" fillId="0" borderId="1" xfId="0" applyFill="1" applyBorder="1"/>
    <xf numFmtId="16" fontId="0" fillId="0" borderId="1" xfId="0" quotePrefix="1" applyNumberFormat="1" applyFill="1" applyBorder="1"/>
    <xf numFmtId="0" fontId="0" fillId="0" borderId="1" xfId="0" quotePrefix="1" applyFill="1" applyBorder="1"/>
    <xf numFmtId="0" fontId="0" fillId="3" borderId="1" xfId="0" applyFill="1" applyBorder="1"/>
    <xf numFmtId="0" fontId="0" fillId="3" borderId="1" xfId="0" quotePrefix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16" fontId="0" fillId="0" borderId="1" xfId="0" quotePrefix="1" applyNumberForma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16" fontId="0" fillId="3" borderId="1" xfId="0" quotePrefix="1" applyNumberFormat="1" applyFill="1" applyBorder="1" applyAlignment="1">
      <alignment horizontal="left"/>
    </xf>
    <xf numFmtId="0" fontId="0" fillId="3" borderId="22" xfId="0" applyFill="1" applyBorder="1" applyAlignment="1">
      <alignment horizontal="left"/>
    </xf>
    <xf numFmtId="0" fontId="0" fillId="3" borderId="23" xfId="0" applyFill="1" applyBorder="1" applyAlignment="1">
      <alignment horizontal="left"/>
    </xf>
    <xf numFmtId="0" fontId="0" fillId="3" borderId="24" xfId="0" applyFill="1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3" borderId="22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16" fontId="0" fillId="3" borderId="22" xfId="0" quotePrefix="1" applyNumberFormat="1" applyFill="1" applyBorder="1" applyAlignment="1">
      <alignment horizontal="left"/>
    </xf>
    <xf numFmtId="16" fontId="0" fillId="3" borderId="23" xfId="0" quotePrefix="1" applyNumberFormat="1" applyFill="1" applyBorder="1" applyAlignment="1">
      <alignment horizontal="left"/>
    </xf>
    <xf numFmtId="16" fontId="0" fillId="3" borderId="24" xfId="0" quotePrefix="1" applyNumberForma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quotePrefix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16" fontId="0" fillId="4" borderId="22" xfId="0" quotePrefix="1" applyNumberFormat="1" applyFill="1" applyBorder="1" applyAlignment="1">
      <alignment horizontal="left"/>
    </xf>
    <xf numFmtId="16" fontId="0" fillId="4" borderId="23" xfId="0" quotePrefix="1" applyNumberFormat="1" applyFill="1" applyBorder="1" applyAlignment="1">
      <alignment horizontal="left"/>
    </xf>
    <xf numFmtId="16" fontId="0" fillId="4" borderId="24" xfId="0" quotePrefix="1" applyNumberFormat="1" applyFill="1" applyBorder="1" applyAlignment="1">
      <alignment horizontal="left"/>
    </xf>
    <xf numFmtId="0" fontId="0" fillId="0" borderId="1" xfId="0" quotePrefix="1" applyFill="1" applyBorder="1" applyAlignment="1">
      <alignment horizontal="left"/>
    </xf>
    <xf numFmtId="0" fontId="0" fillId="0" borderId="22" xfId="0" applyFill="1" applyBorder="1" applyAlignment="1">
      <alignment horizontal="left"/>
    </xf>
    <xf numFmtId="0" fontId="0" fillId="0" borderId="23" xfId="0" applyFill="1" applyBorder="1" applyAlignment="1">
      <alignment horizontal="left"/>
    </xf>
    <xf numFmtId="0" fontId="0" fillId="0" borderId="24" xfId="0" applyFill="1" applyBorder="1" applyAlignment="1">
      <alignment horizontal="left"/>
    </xf>
    <xf numFmtId="16" fontId="0" fillId="0" borderId="22" xfId="0" quotePrefix="1" applyNumberFormat="1" applyFill="1" applyBorder="1" applyAlignment="1">
      <alignment horizontal="left"/>
    </xf>
    <xf numFmtId="16" fontId="0" fillId="0" borderId="23" xfId="0" quotePrefix="1" applyNumberFormat="1" applyFill="1" applyBorder="1" applyAlignment="1">
      <alignment horizontal="left"/>
    </xf>
    <xf numFmtId="16" fontId="0" fillId="0" borderId="24" xfId="0" quotePrefix="1" applyNumberFormat="1" applyFill="1" applyBorder="1" applyAlignment="1">
      <alignment horizontal="left"/>
    </xf>
    <xf numFmtId="16" fontId="0" fillId="4" borderId="1" xfId="0" quotePrefix="1" applyNumberFormat="1" applyFill="1" applyBorder="1" applyAlignment="1">
      <alignment horizontal="left"/>
    </xf>
    <xf numFmtId="16" fontId="0" fillId="2" borderId="1" xfId="0" quotePrefix="1" applyNumberFormat="1" applyFill="1" applyBorder="1" applyAlignment="1">
      <alignment horizontal="left"/>
    </xf>
    <xf numFmtId="0" fontId="0" fillId="2" borderId="1" xfId="0" quotePrefix="1" applyFill="1" applyBorder="1"/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16" fontId="6" fillId="4" borderId="1" xfId="0" quotePrefix="1" applyNumberFormat="1" applyFont="1" applyFill="1" applyBorder="1" applyAlignment="1">
      <alignment horizontal="left"/>
    </xf>
    <xf numFmtId="0" fontId="0" fillId="4" borderId="22" xfId="0" applyFill="1" applyBorder="1" applyAlignment="1">
      <alignment horizontal="left"/>
    </xf>
    <xf numFmtId="0" fontId="0" fillId="4" borderId="23" xfId="0" applyFill="1" applyBorder="1" applyAlignment="1">
      <alignment horizontal="left"/>
    </xf>
    <xf numFmtId="0" fontId="0" fillId="4" borderId="24" xfId="0" applyFill="1" applyBorder="1" applyAlignment="1">
      <alignment horizontal="left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topLeftCell="A13" workbookViewId="0">
      <selection activeCell="A17" sqref="A17"/>
    </sheetView>
  </sheetViews>
  <sheetFormatPr defaultRowHeight="14.5" x14ac:dyDescent="0.35"/>
  <cols>
    <col min="1" max="1" width="61.453125" style="349" bestFit="1" customWidth="1"/>
    <col min="2" max="16384" width="8.7265625" style="116"/>
  </cols>
  <sheetData>
    <row r="1" spans="1:1" s="345" customFormat="1" x14ac:dyDescent="0.35">
      <c r="A1" s="351" t="s">
        <v>209</v>
      </c>
    </row>
    <row r="2" spans="1:1" s="345" customFormat="1" x14ac:dyDescent="0.35">
      <c r="A2" s="351" t="s">
        <v>210</v>
      </c>
    </row>
    <row r="3" spans="1:1" s="345" customFormat="1" x14ac:dyDescent="0.35">
      <c r="A3" s="349"/>
    </row>
    <row r="4" spans="1:1" ht="29" x14ac:dyDescent="0.35">
      <c r="A4" s="119" t="s">
        <v>217</v>
      </c>
    </row>
    <row r="5" spans="1:1" ht="72.5" x14ac:dyDescent="0.35">
      <c r="A5" s="119" t="s">
        <v>201</v>
      </c>
    </row>
    <row r="6" spans="1:1" x14ac:dyDescent="0.35">
      <c r="A6" s="120" t="s">
        <v>39</v>
      </c>
    </row>
    <row r="7" spans="1:1" x14ac:dyDescent="0.35">
      <c r="A7" s="121" t="s">
        <v>118</v>
      </c>
    </row>
    <row r="8" spans="1:1" x14ac:dyDescent="0.35">
      <c r="A8" s="121" t="s">
        <v>47</v>
      </c>
    </row>
    <row r="9" spans="1:1" ht="29" x14ac:dyDescent="0.35">
      <c r="A9" s="119" t="s">
        <v>62</v>
      </c>
    </row>
    <row r="10" spans="1:1" ht="29" x14ac:dyDescent="0.35">
      <c r="A10" s="122" t="s">
        <v>75</v>
      </c>
    </row>
    <row r="11" spans="1:1" x14ac:dyDescent="0.35">
      <c r="A11" s="349" t="s">
        <v>110</v>
      </c>
    </row>
    <row r="12" spans="1:1" x14ac:dyDescent="0.35">
      <c r="A12" s="349" t="s">
        <v>111</v>
      </c>
    </row>
    <row r="13" spans="1:1" ht="101.5" x14ac:dyDescent="0.35">
      <c r="A13" s="122" t="s">
        <v>219</v>
      </c>
    </row>
    <row r="14" spans="1:1" x14ac:dyDescent="0.35">
      <c r="A14" s="350" t="s">
        <v>200</v>
      </c>
    </row>
    <row r="15" spans="1:1" x14ac:dyDescent="0.35">
      <c r="A15" s="349" t="s">
        <v>221</v>
      </c>
    </row>
    <row r="16" spans="1:1" x14ac:dyDescent="0.35">
      <c r="A16" s="349" t="s">
        <v>202</v>
      </c>
    </row>
    <row r="17" spans="1:1" ht="29" x14ac:dyDescent="0.35">
      <c r="A17" s="352" t="s">
        <v>226</v>
      </c>
    </row>
    <row r="18" spans="1:1" ht="58" x14ac:dyDescent="0.35">
      <c r="A18" s="122" t="s">
        <v>211</v>
      </c>
    </row>
    <row r="19" spans="1:1" x14ac:dyDescent="0.35">
      <c r="A19" s="349" t="s">
        <v>205</v>
      </c>
    </row>
    <row r="20" spans="1:1" x14ac:dyDescent="0.35">
      <c r="A20" s="349" t="s">
        <v>203</v>
      </c>
    </row>
    <row r="21" spans="1:1" x14ac:dyDescent="0.35">
      <c r="A21" s="350" t="s">
        <v>204</v>
      </c>
    </row>
    <row r="22" spans="1:1" x14ac:dyDescent="0.35">
      <c r="A22" s="349" t="s">
        <v>220</v>
      </c>
    </row>
    <row r="23" spans="1:1" x14ac:dyDescent="0.35">
      <c r="A23" s="349" t="s">
        <v>207</v>
      </c>
    </row>
    <row r="24" spans="1:1" x14ac:dyDescent="0.35">
      <c r="A24" s="349" t="s">
        <v>208</v>
      </c>
    </row>
    <row r="25" spans="1:1" x14ac:dyDescent="0.35">
      <c r="A25" s="349" t="s">
        <v>206</v>
      </c>
    </row>
    <row r="27" spans="1:1" x14ac:dyDescent="0.35">
      <c r="A27" s="349" t="s">
        <v>213</v>
      </c>
    </row>
    <row r="28" spans="1:1" s="346" customFormat="1" x14ac:dyDescent="0.35">
      <c r="A28" s="349" t="s">
        <v>208</v>
      </c>
    </row>
    <row r="29" spans="1:1" x14ac:dyDescent="0.35">
      <c r="A29" s="349" t="s">
        <v>212</v>
      </c>
    </row>
    <row r="31" spans="1:1" x14ac:dyDescent="0.35">
      <c r="A31" s="320" t="s">
        <v>225</v>
      </c>
    </row>
    <row r="33" spans="1:2" ht="29" x14ac:dyDescent="0.35">
      <c r="A33" s="347" t="s">
        <v>214</v>
      </c>
    </row>
    <row r="36" spans="1:2" ht="58" x14ac:dyDescent="0.35">
      <c r="A36" s="122" t="s">
        <v>215</v>
      </c>
    </row>
    <row r="37" spans="1:2" ht="72.5" x14ac:dyDescent="0.35">
      <c r="A37" s="122" t="s">
        <v>218</v>
      </c>
      <c r="B37" s="12"/>
    </row>
    <row r="38" spans="1:2" ht="29" x14ac:dyDescent="0.35">
      <c r="A38" s="348" t="s">
        <v>216</v>
      </c>
    </row>
    <row r="40" spans="1:2" ht="72.5" x14ac:dyDescent="0.35">
      <c r="A40" s="122" t="s">
        <v>222</v>
      </c>
    </row>
    <row r="41" spans="1:2" ht="29" x14ac:dyDescent="0.35">
      <c r="A41" s="122" t="s">
        <v>223</v>
      </c>
    </row>
    <row r="43" spans="1:2" x14ac:dyDescent="0.35">
      <c r="A43" s="349" t="s">
        <v>224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3"/>
  <sheetViews>
    <sheetView workbookViewId="0">
      <selection activeCell="B3" sqref="B3"/>
    </sheetView>
  </sheetViews>
  <sheetFormatPr defaultRowHeight="14.5" x14ac:dyDescent="0.35"/>
  <cols>
    <col min="3" max="3" width="27" bestFit="1" customWidth="1"/>
  </cols>
  <sheetData>
    <row r="2" spans="2:3" x14ac:dyDescent="0.35">
      <c r="B2" s="45" t="s">
        <v>69</v>
      </c>
      <c r="C2" s="45" t="s">
        <v>70</v>
      </c>
    </row>
    <row r="3" spans="2:3" x14ac:dyDescent="0.35">
      <c r="B3" s="46">
        <v>1</v>
      </c>
      <c r="C3" s="44" t="s">
        <v>71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D1" sqref="D1:D7"/>
    </sheetView>
  </sheetViews>
  <sheetFormatPr defaultRowHeight="14.5" x14ac:dyDescent="0.35"/>
  <cols>
    <col min="1" max="1" width="26" bestFit="1" customWidth="1"/>
    <col min="2" max="2" width="28.54296875" bestFit="1" customWidth="1"/>
    <col min="3" max="3" width="5.26953125" bestFit="1" customWidth="1"/>
    <col min="4" max="4" width="5" style="1" bestFit="1" customWidth="1"/>
  </cols>
  <sheetData>
    <row r="1" spans="1:4" x14ac:dyDescent="0.35">
      <c r="A1" s="3" t="s">
        <v>0</v>
      </c>
      <c r="B1" s="4" t="s">
        <v>1</v>
      </c>
      <c r="C1" s="4" t="s">
        <v>2</v>
      </c>
      <c r="D1" s="5">
        <v>1025</v>
      </c>
    </row>
    <row r="2" spans="1:4" x14ac:dyDescent="0.35">
      <c r="A2" s="6" t="s">
        <v>3</v>
      </c>
      <c r="B2" s="2" t="s">
        <v>4</v>
      </c>
      <c r="C2" s="2" t="s">
        <v>2</v>
      </c>
      <c r="D2" s="7">
        <v>2413</v>
      </c>
    </row>
    <row r="3" spans="1:4" x14ac:dyDescent="0.35">
      <c r="A3" s="6" t="s">
        <v>5</v>
      </c>
      <c r="B3" s="2" t="s">
        <v>6</v>
      </c>
      <c r="C3" s="2" t="s">
        <v>2</v>
      </c>
      <c r="D3" s="7">
        <v>3081</v>
      </c>
    </row>
    <row r="4" spans="1:4" x14ac:dyDescent="0.35">
      <c r="A4" s="6" t="s">
        <v>7</v>
      </c>
      <c r="B4" s="2" t="s">
        <v>8</v>
      </c>
      <c r="C4" s="2" t="s">
        <v>2</v>
      </c>
      <c r="D4" s="7">
        <v>1675</v>
      </c>
    </row>
    <row r="5" spans="1:4" x14ac:dyDescent="0.35">
      <c r="A5" s="8" t="s">
        <v>9</v>
      </c>
      <c r="B5" s="9" t="s">
        <v>8</v>
      </c>
      <c r="C5" s="9" t="s">
        <v>2</v>
      </c>
      <c r="D5" s="10">
        <v>2975</v>
      </c>
    </row>
    <row r="6" spans="1:4" x14ac:dyDescent="0.35">
      <c r="A6" s="11" t="s">
        <v>10</v>
      </c>
      <c r="B6" s="11" t="s">
        <v>11</v>
      </c>
      <c r="C6" s="2" t="s">
        <v>2</v>
      </c>
      <c r="D6" s="12">
        <v>2000</v>
      </c>
    </row>
    <row r="7" spans="1:4" x14ac:dyDescent="0.35">
      <c r="A7" s="13" t="s">
        <v>12</v>
      </c>
      <c r="B7" s="14" t="s">
        <v>13</v>
      </c>
      <c r="C7" s="2" t="s">
        <v>2</v>
      </c>
      <c r="D7" s="12">
        <v>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6"/>
  <sheetViews>
    <sheetView workbookViewId="0">
      <selection activeCell="I6" sqref="I6"/>
    </sheetView>
  </sheetViews>
  <sheetFormatPr defaultRowHeight="14.5" x14ac:dyDescent="0.35"/>
  <cols>
    <col min="4" max="4" width="10.7265625" customWidth="1"/>
    <col min="10" max="10" width="11.54296875" customWidth="1"/>
  </cols>
  <sheetData>
    <row r="2" spans="2:11" ht="15" thickBot="1" x14ac:dyDescent="0.4"/>
    <row r="3" spans="2:11" ht="15" thickBot="1" x14ac:dyDescent="0.4">
      <c r="B3" s="360" t="s">
        <v>14</v>
      </c>
      <c r="C3" s="361"/>
      <c r="D3" s="361"/>
      <c r="E3" s="16"/>
      <c r="F3" s="17">
        <v>1500</v>
      </c>
      <c r="I3" s="357" t="s">
        <v>15</v>
      </c>
      <c r="J3" s="358"/>
      <c r="K3" s="359"/>
    </row>
    <row r="4" spans="2:11" ht="15" thickBot="1" x14ac:dyDescent="0.4">
      <c r="B4" s="355" t="s">
        <v>16</v>
      </c>
      <c r="C4" s="356"/>
      <c r="D4" s="356"/>
      <c r="E4" s="16"/>
      <c r="F4" s="17">
        <v>2263</v>
      </c>
      <c r="I4" s="357" t="s">
        <v>15</v>
      </c>
      <c r="J4" s="358"/>
      <c r="K4" s="359"/>
    </row>
    <row r="5" spans="2:11" ht="15" thickBot="1" x14ac:dyDescent="0.4">
      <c r="B5" s="355" t="s">
        <v>7</v>
      </c>
      <c r="C5" s="356"/>
      <c r="D5" s="356"/>
      <c r="E5" s="16"/>
      <c r="F5" s="17">
        <v>544.29</v>
      </c>
      <c r="I5" s="357" t="s">
        <v>15</v>
      </c>
      <c r="J5" s="358"/>
      <c r="K5" s="359"/>
    </row>
    <row r="6" spans="2:11" ht="15" thickBot="1" x14ac:dyDescent="0.4">
      <c r="B6" s="353" t="s">
        <v>5</v>
      </c>
      <c r="C6" s="354"/>
      <c r="D6" s="354"/>
      <c r="E6" s="15"/>
      <c r="F6" s="18"/>
    </row>
  </sheetData>
  <mergeCells count="7">
    <mergeCell ref="B6:D6"/>
    <mergeCell ref="B5:D5"/>
    <mergeCell ref="I5:K5"/>
    <mergeCell ref="B3:D3"/>
    <mergeCell ref="I3:K3"/>
    <mergeCell ref="B4:D4"/>
    <mergeCell ref="I4:K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J15"/>
  <sheetViews>
    <sheetView workbookViewId="0">
      <selection activeCell="F2" sqref="F2:F4"/>
    </sheetView>
  </sheetViews>
  <sheetFormatPr defaultRowHeight="14.5" x14ac:dyDescent="0.35"/>
  <cols>
    <col min="3" max="3" width="11.81640625" bestFit="1" customWidth="1"/>
    <col min="5" max="5" width="11.81640625" bestFit="1" customWidth="1"/>
    <col min="7" max="7" width="20" bestFit="1" customWidth="1"/>
  </cols>
  <sheetData>
    <row r="2" spans="3:10" x14ac:dyDescent="0.35">
      <c r="D2" s="22"/>
      <c r="E2" s="20" t="s">
        <v>17</v>
      </c>
      <c r="F2" s="12">
        <v>1500</v>
      </c>
      <c r="G2" s="22" t="s">
        <v>18</v>
      </c>
      <c r="H2" s="22"/>
    </row>
    <row r="3" spans="3:10" s="19" customFormat="1" x14ac:dyDescent="0.35">
      <c r="D3" s="22"/>
      <c r="E3" s="20" t="s">
        <v>31</v>
      </c>
      <c r="F3" s="12">
        <v>8008</v>
      </c>
      <c r="G3" s="22" t="s">
        <v>18</v>
      </c>
      <c r="H3" s="24"/>
      <c r="I3" s="24"/>
    </row>
    <row r="4" spans="3:10" s="19" customFormat="1" x14ac:dyDescent="0.35">
      <c r="D4" s="22"/>
      <c r="E4" s="20" t="s">
        <v>32</v>
      </c>
      <c r="F4" s="12">
        <v>7741</v>
      </c>
      <c r="G4" s="22" t="s">
        <v>18</v>
      </c>
      <c r="H4" s="22"/>
      <c r="I4" s="22"/>
    </row>
    <row r="5" spans="3:10" s="19" customFormat="1" x14ac:dyDescent="0.35">
      <c r="D5" s="22"/>
      <c r="E5" s="20" t="s">
        <v>33</v>
      </c>
      <c r="F5" s="12">
        <v>12000</v>
      </c>
      <c r="G5" s="22"/>
      <c r="H5" s="22"/>
      <c r="I5" s="22"/>
    </row>
    <row r="6" spans="3:10" s="19" customFormat="1" x14ac:dyDescent="0.35">
      <c r="C6" s="22"/>
      <c r="D6" s="22"/>
      <c r="E6" s="22"/>
      <c r="F6" s="23"/>
      <c r="G6" s="22"/>
      <c r="H6" s="22"/>
      <c r="I6" s="22"/>
    </row>
    <row r="7" spans="3:10" s="19" customFormat="1" x14ac:dyDescent="0.35">
      <c r="C7" s="22"/>
      <c r="D7" s="22"/>
      <c r="E7" s="22"/>
      <c r="F7" s="23"/>
      <c r="G7" s="22"/>
      <c r="H7" s="22"/>
      <c r="I7" s="22"/>
    </row>
    <row r="8" spans="3:10" s="19" customFormat="1" x14ac:dyDescent="0.35">
      <c r="C8" s="22"/>
      <c r="D8" s="22"/>
      <c r="E8" s="22"/>
      <c r="F8" s="23"/>
      <c r="G8" s="22"/>
      <c r="H8" s="363"/>
      <c r="I8" s="363"/>
    </row>
    <row r="9" spans="3:10" x14ac:dyDescent="0.35">
      <c r="C9" s="362" t="s">
        <v>23</v>
      </c>
      <c r="D9" s="362"/>
      <c r="E9" s="362"/>
      <c r="F9" s="12">
        <v>1846</v>
      </c>
      <c r="G9" s="20"/>
      <c r="H9" s="362" t="s">
        <v>30</v>
      </c>
      <c r="I9" s="362"/>
      <c r="J9" s="362"/>
    </row>
    <row r="10" spans="3:10" x14ac:dyDescent="0.35">
      <c r="C10" s="362" t="s">
        <v>24</v>
      </c>
      <c r="D10" s="362"/>
      <c r="E10" s="362"/>
      <c r="F10" s="12">
        <v>542.24</v>
      </c>
      <c r="G10" s="20" t="s">
        <v>19</v>
      </c>
      <c r="H10" s="362" t="s">
        <v>34</v>
      </c>
      <c r="I10" s="362"/>
      <c r="J10" s="362"/>
    </row>
    <row r="11" spans="3:10" x14ac:dyDescent="0.35">
      <c r="C11" s="362" t="s">
        <v>25</v>
      </c>
      <c r="D11" s="362"/>
      <c r="E11" s="362"/>
      <c r="F11" s="21" t="s">
        <v>21</v>
      </c>
      <c r="G11" s="20" t="s">
        <v>20</v>
      </c>
      <c r="H11" s="362" t="s">
        <v>35</v>
      </c>
      <c r="I11" s="362"/>
      <c r="J11" s="362"/>
    </row>
    <row r="12" spans="3:10" s="19" customFormat="1" x14ac:dyDescent="0.35">
      <c r="C12" s="362" t="s">
        <v>26</v>
      </c>
      <c r="D12" s="362"/>
      <c r="E12" s="362"/>
      <c r="F12" s="21">
        <v>1649</v>
      </c>
      <c r="G12" s="20" t="s">
        <v>20</v>
      </c>
      <c r="H12" s="362" t="s">
        <v>35</v>
      </c>
      <c r="I12" s="362"/>
      <c r="J12" s="362"/>
    </row>
    <row r="13" spans="3:10" s="19" customFormat="1" x14ac:dyDescent="0.35">
      <c r="C13" s="362" t="s">
        <v>27</v>
      </c>
      <c r="D13" s="362"/>
      <c r="E13" s="362"/>
      <c r="F13" s="21"/>
      <c r="G13" s="20"/>
      <c r="H13" s="362"/>
      <c r="I13" s="362"/>
      <c r="J13" s="362"/>
    </row>
    <row r="14" spans="3:10" x14ac:dyDescent="0.35">
      <c r="C14" s="362" t="s">
        <v>28</v>
      </c>
      <c r="D14" s="362"/>
      <c r="E14" s="362"/>
      <c r="F14" s="12">
        <v>9083</v>
      </c>
      <c r="G14" s="20" t="s">
        <v>22</v>
      </c>
      <c r="H14" s="362"/>
      <c r="I14" s="362"/>
      <c r="J14" s="362"/>
    </row>
    <row r="15" spans="3:10" x14ac:dyDescent="0.35">
      <c r="C15" s="362" t="s">
        <v>29</v>
      </c>
      <c r="D15" s="362"/>
      <c r="E15" s="362"/>
      <c r="F15" s="20"/>
      <c r="G15" s="20"/>
      <c r="H15" s="362"/>
      <c r="I15" s="362"/>
      <c r="J15" s="362"/>
    </row>
  </sheetData>
  <mergeCells count="15">
    <mergeCell ref="C15:E15"/>
    <mergeCell ref="H8:I8"/>
    <mergeCell ref="H9:J9"/>
    <mergeCell ref="H10:J10"/>
    <mergeCell ref="H11:J11"/>
    <mergeCell ref="H12:J12"/>
    <mergeCell ref="H13:J13"/>
    <mergeCell ref="H14:J14"/>
    <mergeCell ref="H15:J15"/>
    <mergeCell ref="C11:E11"/>
    <mergeCell ref="C14:E14"/>
    <mergeCell ref="C12:E12"/>
    <mergeCell ref="C13:E13"/>
    <mergeCell ref="C9:E9"/>
    <mergeCell ref="C10:E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J15"/>
  <sheetViews>
    <sheetView workbookViewId="0">
      <selection activeCell="E2" sqref="E2"/>
    </sheetView>
  </sheetViews>
  <sheetFormatPr defaultColWidth="9.1796875" defaultRowHeight="14.5" x14ac:dyDescent="0.35"/>
  <cols>
    <col min="1" max="2" width="9.1796875" style="19"/>
    <col min="3" max="3" width="11.81640625" style="19" bestFit="1" customWidth="1"/>
    <col min="4" max="4" width="9.1796875" style="19"/>
    <col min="5" max="5" width="11.81640625" style="19" bestFit="1" customWidth="1"/>
    <col min="6" max="6" width="9.1796875" style="19"/>
    <col min="7" max="7" width="20" style="19" bestFit="1" customWidth="1"/>
    <col min="8" max="16384" width="9.1796875" style="19"/>
  </cols>
  <sheetData>
    <row r="2" spans="3:10" x14ac:dyDescent="0.35">
      <c r="D2" s="26"/>
      <c r="E2" s="25" t="s">
        <v>17</v>
      </c>
      <c r="F2" s="12">
        <v>1500</v>
      </c>
      <c r="G2" s="28" t="s">
        <v>36</v>
      </c>
      <c r="H2" s="26"/>
    </row>
    <row r="3" spans="3:10" x14ac:dyDescent="0.35">
      <c r="D3" s="26"/>
      <c r="E3" s="25" t="s">
        <v>31</v>
      </c>
      <c r="F3" s="12">
        <v>8008</v>
      </c>
      <c r="G3" s="28" t="s">
        <v>36</v>
      </c>
      <c r="H3" s="24"/>
      <c r="I3" s="24"/>
    </row>
    <row r="4" spans="3:10" x14ac:dyDescent="0.35">
      <c r="D4" s="26"/>
      <c r="E4" s="25" t="s">
        <v>32</v>
      </c>
      <c r="F4" s="12">
        <v>7741</v>
      </c>
      <c r="G4" s="28" t="s">
        <v>36</v>
      </c>
      <c r="H4" s="26"/>
      <c r="I4" s="26"/>
    </row>
    <row r="5" spans="3:10" x14ac:dyDescent="0.35">
      <c r="D5" s="26"/>
      <c r="E5" s="25" t="s">
        <v>33</v>
      </c>
      <c r="F5" s="27">
        <v>12000</v>
      </c>
      <c r="G5" s="26"/>
      <c r="H5" s="26"/>
      <c r="I5" s="26"/>
    </row>
    <row r="6" spans="3:10" x14ac:dyDescent="0.35">
      <c r="C6" s="26"/>
      <c r="D6" s="26"/>
      <c r="E6" s="26"/>
      <c r="F6" s="23"/>
      <c r="G6" s="26"/>
      <c r="H6" s="26"/>
      <c r="I6" s="26"/>
    </row>
    <row r="7" spans="3:10" x14ac:dyDescent="0.35">
      <c r="C7" s="26"/>
      <c r="D7" s="26"/>
      <c r="E7" s="26"/>
      <c r="F7" s="23"/>
      <c r="G7" s="26"/>
      <c r="H7" s="26"/>
      <c r="I7" s="26"/>
    </row>
    <row r="8" spans="3:10" x14ac:dyDescent="0.35">
      <c r="C8" s="26"/>
      <c r="D8" s="26"/>
      <c r="E8" s="26"/>
      <c r="F8" s="23"/>
      <c r="G8" s="26"/>
      <c r="H8" s="364" t="s">
        <v>44</v>
      </c>
      <c r="I8" s="364"/>
      <c r="J8" s="364"/>
    </row>
    <row r="9" spans="3:10" x14ac:dyDescent="0.35">
      <c r="C9" s="362" t="s">
        <v>23</v>
      </c>
      <c r="D9" s="362"/>
      <c r="E9" s="362"/>
      <c r="F9" s="27">
        <v>2320</v>
      </c>
      <c r="G9" s="29" t="s">
        <v>43</v>
      </c>
      <c r="H9" s="365" t="s">
        <v>38</v>
      </c>
      <c r="I9" s="362"/>
      <c r="J9" s="362"/>
    </row>
    <row r="10" spans="3:10" x14ac:dyDescent="0.35">
      <c r="C10" s="362" t="s">
        <v>24</v>
      </c>
      <c r="D10" s="362"/>
      <c r="E10" s="362"/>
      <c r="F10" s="27">
        <v>6512.04</v>
      </c>
      <c r="G10" s="25" t="s">
        <v>40</v>
      </c>
      <c r="H10" s="365" t="s">
        <v>41</v>
      </c>
      <c r="I10" s="362"/>
      <c r="J10" s="362"/>
    </row>
    <row r="11" spans="3:10" x14ac:dyDescent="0.35">
      <c r="C11" s="362" t="s">
        <v>25</v>
      </c>
      <c r="D11" s="362"/>
      <c r="E11" s="362"/>
      <c r="F11" s="21">
        <v>2456.4699999999998</v>
      </c>
      <c r="G11" s="25" t="s">
        <v>37</v>
      </c>
      <c r="H11" s="365" t="s">
        <v>36</v>
      </c>
      <c r="I11" s="362"/>
      <c r="J11" s="362"/>
    </row>
    <row r="12" spans="3:10" x14ac:dyDescent="0.35">
      <c r="C12" s="362" t="s">
        <v>26</v>
      </c>
      <c r="D12" s="362"/>
      <c r="E12" s="362"/>
      <c r="F12" s="21" t="s">
        <v>36</v>
      </c>
      <c r="G12" s="25" t="s">
        <v>37</v>
      </c>
      <c r="H12" s="365" t="s">
        <v>36</v>
      </c>
      <c r="I12" s="362"/>
      <c r="J12" s="362"/>
    </row>
    <row r="13" spans="3:10" x14ac:dyDescent="0.35">
      <c r="C13" s="362" t="s">
        <v>27</v>
      </c>
      <c r="D13" s="362"/>
      <c r="E13" s="362"/>
      <c r="F13" s="21"/>
      <c r="G13" s="25"/>
      <c r="H13" s="362"/>
      <c r="I13" s="362"/>
      <c r="J13" s="362"/>
    </row>
    <row r="14" spans="3:10" x14ac:dyDescent="0.35">
      <c r="C14" s="362" t="s">
        <v>28</v>
      </c>
      <c r="D14" s="362"/>
      <c r="E14" s="362"/>
      <c r="F14" s="27">
        <v>3087</v>
      </c>
      <c r="G14" s="25" t="s">
        <v>22</v>
      </c>
      <c r="H14" s="362" t="s">
        <v>42</v>
      </c>
      <c r="I14" s="362"/>
      <c r="J14" s="362"/>
    </row>
    <row r="15" spans="3:10" x14ac:dyDescent="0.35">
      <c r="C15" s="362" t="s">
        <v>29</v>
      </c>
      <c r="D15" s="362"/>
      <c r="E15" s="362"/>
      <c r="F15" s="25"/>
      <c r="G15" s="25"/>
      <c r="H15" s="362"/>
      <c r="I15" s="362"/>
      <c r="J15" s="362"/>
    </row>
  </sheetData>
  <mergeCells count="15">
    <mergeCell ref="H8:J8"/>
    <mergeCell ref="C15:E15"/>
    <mergeCell ref="H15:J15"/>
    <mergeCell ref="C12:E12"/>
    <mergeCell ref="H12:J12"/>
    <mergeCell ref="C13:E13"/>
    <mergeCell ref="H13:J13"/>
    <mergeCell ref="C14:E14"/>
    <mergeCell ref="H14:J14"/>
    <mergeCell ref="C11:E11"/>
    <mergeCell ref="H11:J11"/>
    <mergeCell ref="C9:E9"/>
    <mergeCell ref="H9:J9"/>
    <mergeCell ref="C10:E10"/>
    <mergeCell ref="H10:J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K15"/>
  <sheetViews>
    <sheetView workbookViewId="0">
      <selection activeCell="G14" sqref="G14"/>
    </sheetView>
  </sheetViews>
  <sheetFormatPr defaultRowHeight="14.5" x14ac:dyDescent="0.35"/>
  <cols>
    <col min="6" max="6" width="11.81640625" bestFit="1" customWidth="1"/>
    <col min="7" max="7" width="10.26953125" customWidth="1"/>
    <col min="8" max="8" width="20.54296875" bestFit="1" customWidth="1"/>
  </cols>
  <sheetData>
    <row r="3" spans="4:11" x14ac:dyDescent="0.35">
      <c r="F3" s="30" t="s">
        <v>17</v>
      </c>
      <c r="G3" s="12"/>
    </row>
    <row r="4" spans="4:11" x14ac:dyDescent="0.35">
      <c r="F4" s="30" t="s">
        <v>31</v>
      </c>
      <c r="G4" s="27" t="s">
        <v>36</v>
      </c>
    </row>
    <row r="5" spans="4:11" x14ac:dyDescent="0.35">
      <c r="F5" s="30" t="s">
        <v>32</v>
      </c>
      <c r="G5" s="27" t="s">
        <v>36</v>
      </c>
    </row>
    <row r="6" spans="4:11" x14ac:dyDescent="0.35">
      <c r="F6" s="30" t="s">
        <v>33</v>
      </c>
      <c r="G6" s="27" t="s">
        <v>36</v>
      </c>
    </row>
    <row r="8" spans="4:11" x14ac:dyDescent="0.35">
      <c r="D8" s="31"/>
      <c r="E8" s="31"/>
      <c r="F8" s="31"/>
      <c r="G8" s="23"/>
      <c r="H8" s="31"/>
      <c r="I8" s="364" t="s">
        <v>44</v>
      </c>
      <c r="J8" s="364"/>
      <c r="K8" s="364"/>
    </row>
    <row r="9" spans="4:11" x14ac:dyDescent="0.35">
      <c r="D9" s="362" t="s">
        <v>23</v>
      </c>
      <c r="E9" s="362"/>
      <c r="F9" s="362"/>
      <c r="G9" s="27">
        <v>2280</v>
      </c>
      <c r="H9" s="30" t="s">
        <v>45</v>
      </c>
      <c r="I9" s="365" t="s">
        <v>46</v>
      </c>
      <c r="J9" s="362"/>
      <c r="K9" s="362"/>
    </row>
    <row r="10" spans="4:11" x14ac:dyDescent="0.35">
      <c r="D10" s="362" t="s">
        <v>24</v>
      </c>
      <c r="E10" s="362"/>
      <c r="F10" s="362"/>
      <c r="G10" s="27">
        <v>16434.259999999998</v>
      </c>
      <c r="H10" s="30" t="s">
        <v>40</v>
      </c>
      <c r="I10" s="365" t="s">
        <v>46</v>
      </c>
      <c r="J10" s="362"/>
      <c r="K10" s="362"/>
    </row>
    <row r="11" spans="4:11" x14ac:dyDescent="0.35">
      <c r="D11" s="362" t="s">
        <v>25</v>
      </c>
      <c r="E11" s="362"/>
      <c r="F11" s="362"/>
      <c r="G11" s="21">
        <v>2271.5300000000002</v>
      </c>
      <c r="H11" s="30" t="s">
        <v>37</v>
      </c>
      <c r="I11" s="365" t="s">
        <v>46</v>
      </c>
      <c r="J11" s="362"/>
      <c r="K11" s="362"/>
    </row>
    <row r="12" spans="4:11" x14ac:dyDescent="0.35">
      <c r="D12" s="362" t="s">
        <v>26</v>
      </c>
      <c r="E12" s="362"/>
      <c r="F12" s="362"/>
      <c r="G12" s="21">
        <v>1692.96</v>
      </c>
      <c r="H12" s="30" t="s">
        <v>37</v>
      </c>
      <c r="I12" s="365" t="s">
        <v>36</v>
      </c>
      <c r="J12" s="362"/>
      <c r="K12" s="362"/>
    </row>
    <row r="13" spans="4:11" x14ac:dyDescent="0.35">
      <c r="D13" s="366" t="s">
        <v>27</v>
      </c>
      <c r="E13" s="366"/>
      <c r="F13" s="366"/>
      <c r="G13" s="32">
        <v>0</v>
      </c>
      <c r="H13" s="33"/>
      <c r="I13" s="366"/>
      <c r="J13" s="366"/>
      <c r="K13" s="366"/>
    </row>
    <row r="14" spans="4:11" x14ac:dyDescent="0.35">
      <c r="D14" s="362" t="s">
        <v>28</v>
      </c>
      <c r="E14" s="362"/>
      <c r="F14" s="362"/>
      <c r="G14" s="27"/>
      <c r="H14" s="30" t="s">
        <v>22</v>
      </c>
      <c r="I14" s="362"/>
      <c r="J14" s="362"/>
      <c r="K14" s="362"/>
    </row>
    <row r="15" spans="4:11" x14ac:dyDescent="0.35">
      <c r="D15" s="366" t="s">
        <v>29</v>
      </c>
      <c r="E15" s="366"/>
      <c r="F15" s="366"/>
      <c r="G15" s="32">
        <v>0</v>
      </c>
      <c r="H15" s="33"/>
      <c r="I15" s="366"/>
      <c r="J15" s="366"/>
      <c r="K15" s="366"/>
    </row>
  </sheetData>
  <mergeCells count="15">
    <mergeCell ref="D11:F11"/>
    <mergeCell ref="I11:K11"/>
    <mergeCell ref="I8:K8"/>
    <mergeCell ref="D9:F9"/>
    <mergeCell ref="I9:K9"/>
    <mergeCell ref="D10:F10"/>
    <mergeCell ref="I10:K10"/>
    <mergeCell ref="D15:F15"/>
    <mergeCell ref="I15:K15"/>
    <mergeCell ref="D12:F12"/>
    <mergeCell ref="I12:K12"/>
    <mergeCell ref="D13:F13"/>
    <mergeCell ref="I13:K13"/>
    <mergeCell ref="D14:F14"/>
    <mergeCell ref="I14:K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J15"/>
  <sheetViews>
    <sheetView workbookViewId="0">
      <selection activeCell="F9" sqref="F9:F15"/>
    </sheetView>
  </sheetViews>
  <sheetFormatPr defaultColWidth="9.1796875" defaultRowHeight="14.5" x14ac:dyDescent="0.35"/>
  <cols>
    <col min="1" max="2" width="9.1796875" style="19"/>
    <col min="3" max="3" width="11.81640625" style="19" bestFit="1" customWidth="1"/>
    <col min="4" max="4" width="9.1796875" style="19"/>
    <col min="5" max="5" width="11.81640625" style="19" bestFit="1" customWidth="1"/>
    <col min="6" max="6" width="9.1796875" style="19"/>
    <col min="7" max="7" width="20" style="19" bestFit="1" customWidth="1"/>
    <col min="8" max="16384" width="9.1796875" style="19"/>
  </cols>
  <sheetData>
    <row r="2" spans="3:10" x14ac:dyDescent="0.35">
      <c r="D2" s="35"/>
      <c r="E2" s="34" t="s">
        <v>17</v>
      </c>
      <c r="F2" s="12">
        <v>1500</v>
      </c>
      <c r="G2" s="28" t="s">
        <v>36</v>
      </c>
      <c r="H2" s="35"/>
    </row>
    <row r="3" spans="3:10" x14ac:dyDescent="0.35">
      <c r="D3" s="35"/>
      <c r="E3" s="34" t="s">
        <v>31</v>
      </c>
      <c r="F3" s="27">
        <v>8008</v>
      </c>
      <c r="G3" s="28" t="s">
        <v>36</v>
      </c>
      <c r="H3" s="24"/>
      <c r="I3" s="24"/>
    </row>
    <row r="4" spans="3:10" x14ac:dyDescent="0.35">
      <c r="D4" s="35"/>
      <c r="E4" s="34" t="s">
        <v>32</v>
      </c>
      <c r="F4" s="27">
        <v>7741</v>
      </c>
      <c r="G4" s="28" t="s">
        <v>36</v>
      </c>
      <c r="H4" s="35"/>
      <c r="I4" s="35"/>
    </row>
    <row r="5" spans="3:10" x14ac:dyDescent="0.35">
      <c r="D5" s="35"/>
      <c r="E5" s="34" t="s">
        <v>33</v>
      </c>
      <c r="F5" s="27">
        <v>12000</v>
      </c>
      <c r="G5" s="35"/>
      <c r="H5" s="35"/>
      <c r="I5" s="35"/>
    </row>
    <row r="6" spans="3:10" x14ac:dyDescent="0.35">
      <c r="C6" s="35"/>
      <c r="D6" s="35"/>
      <c r="E6" s="35"/>
      <c r="F6" s="23"/>
      <c r="G6" s="35"/>
      <c r="H6" s="35"/>
      <c r="I6" s="35"/>
    </row>
    <row r="7" spans="3:10" x14ac:dyDescent="0.35">
      <c r="C7" s="35"/>
      <c r="D7" s="35"/>
      <c r="E7" s="35"/>
      <c r="F7" s="23"/>
      <c r="G7" s="35"/>
      <c r="H7" s="35"/>
      <c r="I7" s="35"/>
    </row>
    <row r="8" spans="3:10" x14ac:dyDescent="0.35">
      <c r="C8" s="35"/>
      <c r="D8" s="35"/>
      <c r="E8" s="35"/>
      <c r="F8" s="23" t="s">
        <v>49</v>
      </c>
      <c r="G8" s="35" t="s">
        <v>48</v>
      </c>
      <c r="H8" s="364" t="s">
        <v>44</v>
      </c>
      <c r="I8" s="364"/>
      <c r="J8" s="364"/>
    </row>
    <row r="9" spans="3:10" x14ac:dyDescent="0.35">
      <c r="C9" s="362" t="s">
        <v>23</v>
      </c>
      <c r="D9" s="362"/>
      <c r="E9" s="362"/>
      <c r="F9" s="27">
        <v>2260</v>
      </c>
      <c r="G9" s="36" t="s">
        <v>50</v>
      </c>
      <c r="H9" s="365" t="s">
        <v>50</v>
      </c>
      <c r="I9" s="362"/>
      <c r="J9" s="362"/>
    </row>
    <row r="10" spans="3:10" x14ac:dyDescent="0.35">
      <c r="C10" s="362" t="s">
        <v>24</v>
      </c>
      <c r="D10" s="362"/>
      <c r="E10" s="362"/>
      <c r="F10" s="27">
        <v>6670.27</v>
      </c>
      <c r="G10" s="36" t="s">
        <v>51</v>
      </c>
      <c r="H10" s="365" t="s">
        <v>56</v>
      </c>
      <c r="I10" s="362"/>
      <c r="J10" s="362"/>
    </row>
    <row r="11" spans="3:10" x14ac:dyDescent="0.35">
      <c r="C11" s="362" t="s">
        <v>25</v>
      </c>
      <c r="D11" s="362"/>
      <c r="E11" s="362"/>
      <c r="F11" s="21">
        <v>1715.22</v>
      </c>
      <c r="G11" s="36" t="s">
        <v>52</v>
      </c>
      <c r="H11" s="365" t="s">
        <v>56</v>
      </c>
      <c r="I11" s="362"/>
      <c r="J11" s="362"/>
    </row>
    <row r="12" spans="3:10" x14ac:dyDescent="0.35">
      <c r="C12" s="362" t="s">
        <v>26</v>
      </c>
      <c r="D12" s="362"/>
      <c r="E12" s="362"/>
      <c r="F12" s="21">
        <v>1640</v>
      </c>
      <c r="G12" s="36" t="s">
        <v>52</v>
      </c>
      <c r="H12" s="365" t="s">
        <v>56</v>
      </c>
      <c r="I12" s="362"/>
      <c r="J12" s="362"/>
    </row>
    <row r="13" spans="3:10" x14ac:dyDescent="0.35">
      <c r="C13" s="362" t="s">
        <v>27</v>
      </c>
      <c r="D13" s="362"/>
      <c r="E13" s="362"/>
      <c r="F13" s="21">
        <v>4754</v>
      </c>
      <c r="G13" s="34" t="s">
        <v>53</v>
      </c>
      <c r="H13" s="365" t="s">
        <v>56</v>
      </c>
      <c r="I13" s="362"/>
      <c r="J13" s="362"/>
    </row>
    <row r="14" spans="3:10" x14ac:dyDescent="0.35">
      <c r="C14" s="362" t="s">
        <v>28</v>
      </c>
      <c r="D14" s="362"/>
      <c r="E14" s="362"/>
      <c r="F14" s="27">
        <v>1975</v>
      </c>
      <c r="G14" s="36" t="s">
        <v>54</v>
      </c>
      <c r="H14" s="365" t="s">
        <v>36</v>
      </c>
      <c r="I14" s="362"/>
      <c r="J14" s="362"/>
    </row>
    <row r="15" spans="3:10" x14ac:dyDescent="0.35">
      <c r="C15" s="362" t="s">
        <v>29</v>
      </c>
      <c r="D15" s="362"/>
      <c r="E15" s="362"/>
      <c r="F15" s="12">
        <v>3650.27</v>
      </c>
      <c r="G15" s="34" t="s">
        <v>55</v>
      </c>
      <c r="H15" s="362"/>
      <c r="I15" s="362"/>
      <c r="J15" s="362"/>
    </row>
  </sheetData>
  <mergeCells count="15">
    <mergeCell ref="C15:E15"/>
    <mergeCell ref="H15:J15"/>
    <mergeCell ref="C12:E12"/>
    <mergeCell ref="H12:J12"/>
    <mergeCell ref="C13:E13"/>
    <mergeCell ref="H13:J13"/>
    <mergeCell ref="C14:E14"/>
    <mergeCell ref="H14:J14"/>
    <mergeCell ref="C11:E11"/>
    <mergeCell ref="H11:J11"/>
    <mergeCell ref="H8:J8"/>
    <mergeCell ref="C9:E9"/>
    <mergeCell ref="H9:J9"/>
    <mergeCell ref="C10:E10"/>
    <mergeCell ref="H10:J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J15"/>
  <sheetViews>
    <sheetView workbookViewId="0">
      <selection sqref="A1:XFD1048576"/>
    </sheetView>
  </sheetViews>
  <sheetFormatPr defaultColWidth="9.1796875" defaultRowHeight="14.5" x14ac:dyDescent="0.35"/>
  <cols>
    <col min="1" max="2" width="9.1796875" style="19"/>
    <col min="3" max="3" width="11.81640625" style="19" bestFit="1" customWidth="1"/>
    <col min="4" max="4" width="9.1796875" style="19"/>
    <col min="5" max="5" width="11.81640625" style="19" bestFit="1" customWidth="1"/>
    <col min="6" max="6" width="9.1796875" style="19"/>
    <col min="7" max="7" width="20" style="19" bestFit="1" customWidth="1"/>
    <col min="8" max="16384" width="9.1796875" style="19"/>
  </cols>
  <sheetData>
    <row r="2" spans="3:10" x14ac:dyDescent="0.35">
      <c r="D2" s="38"/>
      <c r="E2" s="37" t="s">
        <v>17</v>
      </c>
      <c r="F2" s="12">
        <v>1500</v>
      </c>
      <c r="G2" s="28" t="s">
        <v>36</v>
      </c>
      <c r="H2" s="38"/>
    </row>
    <row r="3" spans="3:10" x14ac:dyDescent="0.35">
      <c r="D3" s="38"/>
      <c r="E3" s="37" t="s">
        <v>31</v>
      </c>
      <c r="F3" s="27">
        <v>8008</v>
      </c>
      <c r="G3" s="28" t="s">
        <v>36</v>
      </c>
      <c r="H3" s="24"/>
      <c r="I3" s="24"/>
    </row>
    <row r="4" spans="3:10" x14ac:dyDescent="0.35">
      <c r="D4" s="38"/>
      <c r="E4" s="37" t="s">
        <v>32</v>
      </c>
      <c r="F4" s="27">
        <v>7741</v>
      </c>
      <c r="G4" s="28" t="s">
        <v>36</v>
      </c>
      <c r="H4" s="38"/>
      <c r="I4" s="38"/>
    </row>
    <row r="5" spans="3:10" x14ac:dyDescent="0.35">
      <c r="D5" s="38"/>
      <c r="E5" s="37" t="s">
        <v>33</v>
      </c>
      <c r="F5" s="27">
        <v>12000</v>
      </c>
      <c r="G5" s="38"/>
      <c r="H5" s="38"/>
      <c r="I5" s="38"/>
    </row>
    <row r="6" spans="3:10" x14ac:dyDescent="0.35">
      <c r="C6" s="38"/>
      <c r="D6" s="38"/>
      <c r="E6" s="38"/>
      <c r="F6" s="23"/>
      <c r="G6" s="38"/>
      <c r="H6" s="38"/>
      <c r="I6" s="38"/>
    </row>
    <row r="7" spans="3:10" x14ac:dyDescent="0.35">
      <c r="C7" s="38"/>
      <c r="D7" s="38"/>
      <c r="E7" s="38"/>
      <c r="F7" s="23"/>
      <c r="G7" s="38"/>
      <c r="H7" s="38"/>
      <c r="I7" s="38"/>
    </row>
    <row r="8" spans="3:10" x14ac:dyDescent="0.35">
      <c r="C8" s="38"/>
      <c r="D8" s="38"/>
      <c r="E8" s="38"/>
      <c r="F8" s="23" t="s">
        <v>49</v>
      </c>
      <c r="G8" s="38" t="s">
        <v>48</v>
      </c>
      <c r="H8" s="364" t="s">
        <v>44</v>
      </c>
      <c r="I8" s="364"/>
      <c r="J8" s="364"/>
    </row>
    <row r="9" spans="3:10" x14ac:dyDescent="0.35">
      <c r="C9" s="362" t="s">
        <v>23</v>
      </c>
      <c r="D9" s="362"/>
      <c r="E9" s="362"/>
      <c r="F9" s="27">
        <v>2250</v>
      </c>
      <c r="G9" s="39" t="s">
        <v>57</v>
      </c>
      <c r="H9" s="365" t="s">
        <v>57</v>
      </c>
      <c r="I9" s="362"/>
      <c r="J9" s="362"/>
    </row>
    <row r="10" spans="3:10" x14ac:dyDescent="0.35">
      <c r="C10" s="362" t="s">
        <v>24</v>
      </c>
      <c r="D10" s="362"/>
      <c r="E10" s="362"/>
      <c r="F10" s="27">
        <v>31541.49</v>
      </c>
      <c r="G10" s="39" t="s">
        <v>58</v>
      </c>
      <c r="H10" s="365" t="s">
        <v>61</v>
      </c>
      <c r="I10" s="362"/>
      <c r="J10" s="362"/>
    </row>
    <row r="11" spans="3:10" x14ac:dyDescent="0.35">
      <c r="C11" s="362" t="s">
        <v>25</v>
      </c>
      <c r="D11" s="362"/>
      <c r="E11" s="362"/>
      <c r="F11" s="21">
        <v>2365.17</v>
      </c>
      <c r="G11" s="39" t="s">
        <v>59</v>
      </c>
      <c r="H11" s="365" t="s">
        <v>61</v>
      </c>
      <c r="I11" s="362"/>
      <c r="J11" s="362"/>
    </row>
    <row r="12" spans="3:10" x14ac:dyDescent="0.35">
      <c r="C12" s="362" t="s">
        <v>26</v>
      </c>
      <c r="D12" s="362"/>
      <c r="E12" s="362"/>
      <c r="F12" s="21">
        <v>1637.02</v>
      </c>
      <c r="G12" s="39" t="s">
        <v>52</v>
      </c>
      <c r="H12" s="365" t="s">
        <v>61</v>
      </c>
      <c r="I12" s="362"/>
      <c r="J12" s="362"/>
    </row>
    <row r="13" spans="3:10" x14ac:dyDescent="0.35">
      <c r="C13" s="362" t="s">
        <v>27</v>
      </c>
      <c r="D13" s="362"/>
      <c r="E13" s="362"/>
      <c r="F13" s="21" t="s">
        <v>60</v>
      </c>
      <c r="G13" s="37" t="s">
        <v>53</v>
      </c>
      <c r="H13" s="365"/>
      <c r="I13" s="362"/>
      <c r="J13" s="362"/>
    </row>
    <row r="14" spans="3:10" x14ac:dyDescent="0.35">
      <c r="C14" s="362" t="s">
        <v>28</v>
      </c>
      <c r="D14" s="362"/>
      <c r="E14" s="362"/>
      <c r="F14" s="27" t="s">
        <v>36</v>
      </c>
      <c r="G14" s="39" t="s">
        <v>54</v>
      </c>
      <c r="H14" s="365" t="s">
        <v>36</v>
      </c>
      <c r="I14" s="362"/>
      <c r="J14" s="362"/>
    </row>
    <row r="15" spans="3:10" x14ac:dyDescent="0.35">
      <c r="C15" s="362" t="s">
        <v>29</v>
      </c>
      <c r="D15" s="362"/>
      <c r="E15" s="362"/>
      <c r="F15" s="37"/>
      <c r="G15" s="37" t="s">
        <v>55</v>
      </c>
      <c r="H15" s="362"/>
      <c r="I15" s="362"/>
      <c r="J15" s="362"/>
    </row>
  </sheetData>
  <mergeCells count="15">
    <mergeCell ref="C11:E11"/>
    <mergeCell ref="H11:J11"/>
    <mergeCell ref="H8:J8"/>
    <mergeCell ref="C9:E9"/>
    <mergeCell ref="H9:J9"/>
    <mergeCell ref="C10:E10"/>
    <mergeCell ref="H10:J10"/>
    <mergeCell ref="C15:E15"/>
    <mergeCell ref="H15:J15"/>
    <mergeCell ref="C12:E12"/>
    <mergeCell ref="H12:J12"/>
    <mergeCell ref="C13:E13"/>
    <mergeCell ref="H13:J13"/>
    <mergeCell ref="C14:E14"/>
    <mergeCell ref="H14:J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J17"/>
  <sheetViews>
    <sheetView workbookViewId="0">
      <selection sqref="A1:XFD1048576"/>
    </sheetView>
  </sheetViews>
  <sheetFormatPr defaultColWidth="9.1796875" defaultRowHeight="14.5" x14ac:dyDescent="0.35"/>
  <cols>
    <col min="1" max="2" width="9.1796875" style="19"/>
    <col min="3" max="3" width="11.81640625" style="19" bestFit="1" customWidth="1"/>
    <col min="4" max="4" width="9.1796875" style="19"/>
    <col min="5" max="5" width="11.81640625" style="19" bestFit="1" customWidth="1"/>
    <col min="6" max="6" width="9.54296875" style="19" bestFit="1" customWidth="1"/>
    <col min="7" max="7" width="20" style="19" bestFit="1" customWidth="1"/>
    <col min="8" max="16384" width="9.1796875" style="19"/>
  </cols>
  <sheetData>
    <row r="2" spans="3:10" x14ac:dyDescent="0.35">
      <c r="D2" s="41"/>
      <c r="E2" s="40" t="s">
        <v>17</v>
      </c>
      <c r="F2" s="12">
        <v>1500</v>
      </c>
      <c r="G2" s="28" t="s">
        <v>36</v>
      </c>
      <c r="H2" s="41"/>
    </row>
    <row r="3" spans="3:10" x14ac:dyDescent="0.35">
      <c r="D3" s="41"/>
      <c r="E3" s="40" t="s">
        <v>31</v>
      </c>
      <c r="F3" s="27">
        <v>8008</v>
      </c>
      <c r="G3" s="28" t="s">
        <v>36</v>
      </c>
      <c r="H3" s="24"/>
      <c r="I3" s="24"/>
    </row>
    <row r="4" spans="3:10" x14ac:dyDescent="0.35">
      <c r="D4" s="41"/>
      <c r="E4" s="40" t="s">
        <v>32</v>
      </c>
      <c r="F4" s="27">
        <v>7741</v>
      </c>
      <c r="G4" s="28" t="s">
        <v>36</v>
      </c>
      <c r="H4" s="41"/>
      <c r="I4" s="41"/>
    </row>
    <row r="5" spans="3:10" x14ac:dyDescent="0.35">
      <c r="D5" s="41"/>
      <c r="E5" s="40" t="s">
        <v>33</v>
      </c>
      <c r="F5" s="27"/>
      <c r="G5" s="41"/>
      <c r="H5" s="41"/>
      <c r="I5" s="41"/>
    </row>
    <row r="6" spans="3:10" x14ac:dyDescent="0.35">
      <c r="C6" s="41"/>
      <c r="D6" s="41"/>
      <c r="E6" s="41"/>
      <c r="F6" s="23"/>
      <c r="G6" s="41"/>
      <c r="H6" s="41"/>
      <c r="I6" s="41"/>
    </row>
    <row r="7" spans="3:10" x14ac:dyDescent="0.35">
      <c r="C7" s="41"/>
      <c r="D7" s="41"/>
      <c r="E7" s="41"/>
      <c r="F7" s="23"/>
      <c r="G7" s="41"/>
      <c r="H7" s="41"/>
      <c r="I7" s="41"/>
    </row>
    <row r="8" spans="3:10" x14ac:dyDescent="0.35">
      <c r="C8" s="41"/>
      <c r="D8" s="41"/>
      <c r="E8" s="41"/>
      <c r="F8" s="23" t="s">
        <v>49</v>
      </c>
      <c r="G8" s="41" t="s">
        <v>48</v>
      </c>
      <c r="H8" s="364" t="s">
        <v>44</v>
      </c>
      <c r="I8" s="364"/>
      <c r="J8" s="364"/>
    </row>
    <row r="9" spans="3:10" x14ac:dyDescent="0.35">
      <c r="C9" s="367" t="s">
        <v>23</v>
      </c>
      <c r="D9" s="367"/>
      <c r="E9" s="367"/>
      <c r="F9" s="27">
        <v>14241</v>
      </c>
      <c r="G9" s="42" t="s">
        <v>63</v>
      </c>
      <c r="H9" s="365" t="s">
        <v>63</v>
      </c>
      <c r="I9" s="362"/>
      <c r="J9" s="362"/>
    </row>
    <row r="10" spans="3:10" x14ac:dyDescent="0.35">
      <c r="C10" s="367" t="s">
        <v>24</v>
      </c>
      <c r="D10" s="367"/>
      <c r="E10" s="367"/>
      <c r="F10" s="27">
        <v>537.83000000000004</v>
      </c>
      <c r="G10" s="43" t="s">
        <v>65</v>
      </c>
      <c r="H10" s="365" t="s">
        <v>63</v>
      </c>
      <c r="I10" s="362"/>
      <c r="J10" s="362"/>
    </row>
    <row r="11" spans="3:10" x14ac:dyDescent="0.35">
      <c r="C11" s="367" t="s">
        <v>25</v>
      </c>
      <c r="D11" s="367"/>
      <c r="E11" s="367"/>
      <c r="F11" s="21">
        <v>6629.72</v>
      </c>
      <c r="G11" s="47" t="s">
        <v>64</v>
      </c>
      <c r="H11" s="368" t="s">
        <v>72</v>
      </c>
      <c r="I11" s="367"/>
      <c r="J11" s="367"/>
    </row>
    <row r="12" spans="3:10" x14ac:dyDescent="0.35">
      <c r="C12" s="367" t="s">
        <v>26</v>
      </c>
      <c r="D12" s="367"/>
      <c r="E12" s="367"/>
      <c r="F12" s="54">
        <v>72333.72</v>
      </c>
      <c r="G12" s="47" t="s">
        <v>64</v>
      </c>
      <c r="H12" s="369" t="s">
        <v>73</v>
      </c>
      <c r="I12" s="367"/>
      <c r="J12" s="367"/>
    </row>
    <row r="13" spans="3:10" x14ac:dyDescent="0.35">
      <c r="C13" s="367" t="s">
        <v>27</v>
      </c>
      <c r="D13" s="367"/>
      <c r="E13" s="367"/>
      <c r="F13" s="21">
        <v>1336.6</v>
      </c>
      <c r="G13" s="42" t="s">
        <v>66</v>
      </c>
      <c r="H13" s="365" t="s">
        <v>63</v>
      </c>
      <c r="I13" s="362"/>
      <c r="J13" s="362"/>
    </row>
    <row r="14" spans="3:10" x14ac:dyDescent="0.35">
      <c r="C14" s="367" t="s">
        <v>28</v>
      </c>
      <c r="D14" s="367"/>
      <c r="E14" s="367"/>
      <c r="F14" s="52">
        <v>9044</v>
      </c>
      <c r="G14" s="47" t="s">
        <v>67</v>
      </c>
      <c r="H14" s="369" t="s">
        <v>73</v>
      </c>
      <c r="I14" s="367"/>
      <c r="J14" s="367"/>
    </row>
    <row r="15" spans="3:10" x14ac:dyDescent="0.35">
      <c r="C15" s="367" t="s">
        <v>29</v>
      </c>
      <c r="D15" s="367"/>
      <c r="E15" s="367"/>
      <c r="F15" s="48">
        <v>7018.72</v>
      </c>
      <c r="G15" s="47" t="s">
        <v>68</v>
      </c>
      <c r="H15" s="368" t="s">
        <v>72</v>
      </c>
      <c r="I15" s="367"/>
      <c r="J15" s="367"/>
    </row>
    <row r="17" spans="6:6" x14ac:dyDescent="0.35">
      <c r="F17" s="55" t="s">
        <v>74</v>
      </c>
    </row>
  </sheetData>
  <mergeCells count="15">
    <mergeCell ref="C11:E11"/>
    <mergeCell ref="H11:J11"/>
    <mergeCell ref="H8:J8"/>
    <mergeCell ref="C9:E9"/>
    <mergeCell ref="H9:J9"/>
    <mergeCell ref="C10:E10"/>
    <mergeCell ref="H10:J10"/>
    <mergeCell ref="C15:E15"/>
    <mergeCell ref="H15:J15"/>
    <mergeCell ref="C12:E12"/>
    <mergeCell ref="H12:J12"/>
    <mergeCell ref="C13:E13"/>
    <mergeCell ref="H13:J13"/>
    <mergeCell ref="C14:E14"/>
    <mergeCell ref="H14:J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J17"/>
  <sheetViews>
    <sheetView workbookViewId="0">
      <selection sqref="A1:XFD1048576"/>
    </sheetView>
  </sheetViews>
  <sheetFormatPr defaultColWidth="9.1796875" defaultRowHeight="14.5" x14ac:dyDescent="0.35"/>
  <cols>
    <col min="1" max="2" width="9.1796875" style="19"/>
    <col min="3" max="3" width="11.81640625" style="19" bestFit="1" customWidth="1"/>
    <col min="4" max="4" width="9.1796875" style="19"/>
    <col min="5" max="5" width="11.81640625" style="19" bestFit="1" customWidth="1"/>
    <col min="6" max="6" width="9.54296875" style="19" bestFit="1" customWidth="1"/>
    <col min="7" max="7" width="20" style="19" bestFit="1" customWidth="1"/>
    <col min="8" max="16384" width="9.1796875" style="19"/>
  </cols>
  <sheetData>
    <row r="2" spans="3:10" x14ac:dyDescent="0.35">
      <c r="D2" s="50"/>
      <c r="E2" s="49" t="s">
        <v>17</v>
      </c>
      <c r="F2" s="12"/>
      <c r="G2" s="28" t="s">
        <v>36</v>
      </c>
      <c r="H2" s="50"/>
    </row>
    <row r="3" spans="3:10" x14ac:dyDescent="0.35">
      <c r="D3" s="50"/>
      <c r="E3" s="49" t="s">
        <v>31</v>
      </c>
      <c r="F3" s="27"/>
      <c r="G3" s="28" t="s">
        <v>36</v>
      </c>
      <c r="H3" s="24"/>
      <c r="I3" s="24"/>
    </row>
    <row r="4" spans="3:10" x14ac:dyDescent="0.35">
      <c r="D4" s="50"/>
      <c r="E4" s="49" t="s">
        <v>32</v>
      </c>
      <c r="F4" s="27"/>
      <c r="G4" s="28" t="s">
        <v>36</v>
      </c>
      <c r="H4" s="50"/>
      <c r="I4" s="50"/>
    </row>
    <row r="5" spans="3:10" x14ac:dyDescent="0.35">
      <c r="D5" s="50"/>
      <c r="E5" s="49" t="s">
        <v>33</v>
      </c>
      <c r="F5" s="27"/>
      <c r="G5" s="50"/>
      <c r="H5" s="50"/>
      <c r="I5" s="50"/>
    </row>
    <row r="6" spans="3:10" x14ac:dyDescent="0.35">
      <c r="C6" s="50"/>
      <c r="D6" s="50"/>
      <c r="E6" s="50"/>
      <c r="F6" s="23"/>
      <c r="G6" s="50"/>
      <c r="H6" s="50"/>
      <c r="I6" s="50"/>
    </row>
    <row r="7" spans="3:10" x14ac:dyDescent="0.35">
      <c r="C7" s="50"/>
      <c r="D7" s="50"/>
      <c r="E7" s="50"/>
      <c r="F7" s="23"/>
      <c r="G7" s="50"/>
      <c r="H7" s="50"/>
      <c r="I7" s="50"/>
    </row>
    <row r="8" spans="3:10" x14ac:dyDescent="0.35">
      <c r="C8" s="50"/>
      <c r="D8" s="50"/>
      <c r="E8" s="50"/>
      <c r="F8" s="23" t="s">
        <v>49</v>
      </c>
      <c r="G8" s="50" t="s">
        <v>48</v>
      </c>
      <c r="H8" s="364" t="s">
        <v>44</v>
      </c>
      <c r="I8" s="364"/>
      <c r="J8" s="364"/>
    </row>
    <row r="9" spans="3:10" x14ac:dyDescent="0.35">
      <c r="C9" s="367" t="s">
        <v>23</v>
      </c>
      <c r="D9" s="367"/>
      <c r="E9" s="367"/>
      <c r="F9" s="27">
        <v>246</v>
      </c>
      <c r="G9" s="51" t="s">
        <v>76</v>
      </c>
      <c r="H9" s="365" t="s">
        <v>80</v>
      </c>
      <c r="I9" s="362"/>
      <c r="J9" s="362"/>
    </row>
    <row r="10" spans="3:10" x14ac:dyDescent="0.35">
      <c r="C10" s="367" t="s">
        <v>24</v>
      </c>
      <c r="D10" s="367"/>
      <c r="E10" s="367"/>
      <c r="F10" s="27">
        <v>536.70000000000005</v>
      </c>
      <c r="G10" s="43" t="s">
        <v>77</v>
      </c>
      <c r="H10" s="365"/>
      <c r="I10" s="362"/>
      <c r="J10" s="362"/>
    </row>
    <row r="11" spans="3:10" x14ac:dyDescent="0.35">
      <c r="C11" s="367" t="s">
        <v>25</v>
      </c>
      <c r="D11" s="367"/>
      <c r="E11" s="367"/>
      <c r="F11" s="21">
        <v>10261.99</v>
      </c>
      <c r="G11" s="53" t="s">
        <v>78</v>
      </c>
      <c r="H11" s="368" t="s">
        <v>82</v>
      </c>
      <c r="I11" s="367"/>
      <c r="J11" s="367"/>
    </row>
    <row r="12" spans="3:10" x14ac:dyDescent="0.35">
      <c r="C12" s="367" t="s">
        <v>26</v>
      </c>
      <c r="D12" s="367"/>
      <c r="E12" s="367"/>
      <c r="F12" s="54" t="s">
        <v>79</v>
      </c>
      <c r="G12" s="53" t="s">
        <v>78</v>
      </c>
      <c r="H12" s="368" t="s">
        <v>84</v>
      </c>
      <c r="I12" s="367"/>
      <c r="J12" s="367"/>
    </row>
    <row r="13" spans="3:10" x14ac:dyDescent="0.35">
      <c r="C13" s="367" t="s">
        <v>27</v>
      </c>
      <c r="D13" s="367"/>
      <c r="E13" s="367"/>
      <c r="F13" s="21">
        <v>0</v>
      </c>
      <c r="G13" s="51"/>
      <c r="H13" s="365"/>
      <c r="I13" s="362"/>
      <c r="J13" s="362"/>
    </row>
    <row r="14" spans="3:10" x14ac:dyDescent="0.35">
      <c r="C14" s="367" t="s">
        <v>28</v>
      </c>
      <c r="D14" s="367"/>
      <c r="E14" s="367"/>
      <c r="F14" s="52">
        <v>2797</v>
      </c>
      <c r="G14" s="56" t="s">
        <v>81</v>
      </c>
      <c r="H14" s="369" t="s">
        <v>83</v>
      </c>
      <c r="I14" s="367"/>
      <c r="J14" s="367"/>
    </row>
    <row r="15" spans="3:10" x14ac:dyDescent="0.35">
      <c r="C15" s="367" t="s">
        <v>29</v>
      </c>
      <c r="D15" s="367"/>
      <c r="E15" s="367"/>
      <c r="F15" s="48">
        <v>74214</v>
      </c>
      <c r="G15" s="53"/>
      <c r="H15" s="368"/>
      <c r="I15" s="367"/>
      <c r="J15" s="367"/>
    </row>
    <row r="17" spans="6:6" x14ac:dyDescent="0.35">
      <c r="F17" s="55">
        <f>SUM(F9:F15)</f>
        <v>88055.69</v>
      </c>
    </row>
  </sheetData>
  <mergeCells count="15">
    <mergeCell ref="C15:E15"/>
    <mergeCell ref="H15:J15"/>
    <mergeCell ref="C12:E12"/>
    <mergeCell ref="H12:J12"/>
    <mergeCell ref="C13:E13"/>
    <mergeCell ref="H13:J13"/>
    <mergeCell ref="C14:E14"/>
    <mergeCell ref="H14:J14"/>
    <mergeCell ref="C11:E11"/>
    <mergeCell ref="H11:J11"/>
    <mergeCell ref="H8:J8"/>
    <mergeCell ref="C9:E9"/>
    <mergeCell ref="H9:J9"/>
    <mergeCell ref="C10:E10"/>
    <mergeCell ref="H10:J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J21"/>
  <sheetViews>
    <sheetView workbookViewId="0">
      <selection sqref="A1:XFD1048576"/>
    </sheetView>
  </sheetViews>
  <sheetFormatPr defaultColWidth="9.1796875" defaultRowHeight="14.5" x14ac:dyDescent="0.35"/>
  <cols>
    <col min="1" max="2" width="9.1796875" style="19"/>
    <col min="3" max="3" width="11.81640625" style="19" bestFit="1" customWidth="1"/>
    <col min="4" max="4" width="9.1796875" style="19"/>
    <col min="5" max="5" width="11.81640625" style="19" bestFit="1" customWidth="1"/>
    <col min="6" max="6" width="9.54296875" style="19" bestFit="1" customWidth="1"/>
    <col min="7" max="7" width="20" style="19" bestFit="1" customWidth="1"/>
    <col min="8" max="9" width="9.1796875" style="19"/>
    <col min="10" max="10" width="11.54296875" style="19" customWidth="1"/>
    <col min="11" max="16384" width="9.1796875" style="19"/>
  </cols>
  <sheetData>
    <row r="2" spans="3:10" x14ac:dyDescent="0.35">
      <c r="D2" s="57"/>
      <c r="G2" s="28" t="s">
        <v>36</v>
      </c>
      <c r="H2" s="57"/>
    </row>
    <row r="3" spans="3:10" x14ac:dyDescent="0.35">
      <c r="D3" s="57"/>
      <c r="G3" s="28" t="s">
        <v>36</v>
      </c>
      <c r="H3" s="24"/>
      <c r="I3" s="24"/>
    </row>
    <row r="4" spans="3:10" x14ac:dyDescent="0.35">
      <c r="D4" s="57"/>
      <c r="G4" s="28" t="s">
        <v>36</v>
      </c>
      <c r="H4" s="57"/>
      <c r="I4" s="57"/>
    </row>
    <row r="5" spans="3:10" x14ac:dyDescent="0.35">
      <c r="D5" s="57"/>
      <c r="G5" s="57"/>
      <c r="H5" s="57"/>
      <c r="I5" s="57"/>
    </row>
    <row r="6" spans="3:10" x14ac:dyDescent="0.35">
      <c r="C6" s="57"/>
      <c r="D6" s="57"/>
      <c r="E6" s="57"/>
      <c r="F6" s="23"/>
      <c r="G6" s="57"/>
      <c r="H6" s="57"/>
      <c r="I6" s="57"/>
    </row>
    <row r="7" spans="3:10" x14ac:dyDescent="0.35">
      <c r="C7" s="57"/>
      <c r="D7" s="57"/>
      <c r="E7" s="57"/>
      <c r="F7" s="23"/>
      <c r="G7" s="57"/>
      <c r="H7" s="57"/>
      <c r="I7" s="57"/>
    </row>
    <row r="8" spans="3:10" x14ac:dyDescent="0.35">
      <c r="C8" s="385"/>
      <c r="D8" s="386"/>
      <c r="E8" s="387"/>
      <c r="F8" s="12" t="s">
        <v>49</v>
      </c>
      <c r="G8" s="58" t="s">
        <v>48</v>
      </c>
      <c r="H8" s="391" t="s">
        <v>44</v>
      </c>
      <c r="I8" s="391"/>
      <c r="J8" s="391"/>
    </row>
    <row r="9" spans="3:10" x14ac:dyDescent="0.35">
      <c r="C9" s="367" t="s">
        <v>23</v>
      </c>
      <c r="D9" s="367"/>
      <c r="E9" s="367"/>
      <c r="F9" s="27">
        <v>0</v>
      </c>
      <c r="G9" s="59"/>
      <c r="H9" s="365"/>
      <c r="I9" s="362"/>
      <c r="J9" s="362"/>
    </row>
    <row r="10" spans="3:10" x14ac:dyDescent="0.35">
      <c r="C10" s="370" t="s">
        <v>24</v>
      </c>
      <c r="D10" s="370"/>
      <c r="E10" s="370"/>
      <c r="F10" s="64">
        <v>535.55999999999995</v>
      </c>
      <c r="G10" s="65" t="s">
        <v>85</v>
      </c>
      <c r="H10" s="371" t="s">
        <v>88</v>
      </c>
      <c r="I10" s="372"/>
      <c r="J10" s="372"/>
    </row>
    <row r="11" spans="3:10" x14ac:dyDescent="0.35">
      <c r="C11" s="370" t="s">
        <v>25</v>
      </c>
      <c r="D11" s="370"/>
      <c r="E11" s="370"/>
      <c r="F11" s="64">
        <v>16125.83</v>
      </c>
      <c r="G11" s="63"/>
      <c r="H11" s="375" t="s">
        <v>86</v>
      </c>
      <c r="I11" s="372"/>
      <c r="J11" s="372"/>
    </row>
    <row r="12" spans="3:10" x14ac:dyDescent="0.35">
      <c r="C12" s="370" t="s">
        <v>26</v>
      </c>
      <c r="D12" s="370"/>
      <c r="E12" s="370"/>
      <c r="F12" s="67">
        <v>2533.4</v>
      </c>
      <c r="G12" s="63"/>
      <c r="H12" s="375" t="s">
        <v>85</v>
      </c>
      <c r="I12" s="372"/>
      <c r="J12" s="372"/>
    </row>
    <row r="13" spans="3:10" x14ac:dyDescent="0.35">
      <c r="C13" s="370" t="s">
        <v>27</v>
      </c>
      <c r="D13" s="370"/>
      <c r="E13" s="370"/>
      <c r="F13" s="64">
        <v>1280.7</v>
      </c>
      <c r="G13" s="68"/>
      <c r="H13" s="371" t="s">
        <v>85</v>
      </c>
      <c r="I13" s="372"/>
      <c r="J13" s="372"/>
    </row>
    <row r="14" spans="3:10" x14ac:dyDescent="0.35">
      <c r="C14" s="370" t="s">
        <v>28</v>
      </c>
      <c r="D14" s="370"/>
      <c r="E14" s="370"/>
      <c r="F14" s="62">
        <v>2446</v>
      </c>
      <c r="G14" s="63"/>
      <c r="H14" s="371" t="s">
        <v>87</v>
      </c>
      <c r="I14" s="372"/>
      <c r="J14" s="372"/>
    </row>
    <row r="15" spans="3:10" x14ac:dyDescent="0.35">
      <c r="C15" s="367" t="s">
        <v>29</v>
      </c>
      <c r="D15" s="367"/>
      <c r="E15" s="367"/>
      <c r="F15" s="48">
        <v>7290</v>
      </c>
      <c r="G15" s="60"/>
      <c r="H15" s="373"/>
      <c r="I15" s="374"/>
      <c r="J15" s="374"/>
    </row>
    <row r="16" spans="3:10" x14ac:dyDescent="0.35">
      <c r="C16" s="370" t="s">
        <v>17</v>
      </c>
      <c r="D16" s="370"/>
      <c r="E16" s="370"/>
      <c r="F16" s="66">
        <v>1500</v>
      </c>
      <c r="G16" s="63"/>
      <c r="H16" s="388" t="s">
        <v>89</v>
      </c>
      <c r="I16" s="389"/>
      <c r="J16" s="390"/>
    </row>
    <row r="17" spans="3:10" x14ac:dyDescent="0.35">
      <c r="C17" s="370" t="s">
        <v>31</v>
      </c>
      <c r="D17" s="370"/>
      <c r="E17" s="370"/>
      <c r="F17" s="64">
        <v>8008</v>
      </c>
      <c r="G17" s="63"/>
      <c r="H17" s="388" t="s">
        <v>86</v>
      </c>
      <c r="I17" s="389"/>
      <c r="J17" s="390"/>
    </row>
    <row r="18" spans="3:10" x14ac:dyDescent="0.35">
      <c r="C18" s="370" t="s">
        <v>32</v>
      </c>
      <c r="D18" s="370"/>
      <c r="E18" s="370"/>
      <c r="F18" s="64">
        <v>7741</v>
      </c>
      <c r="G18" s="63"/>
      <c r="H18" s="388" t="s">
        <v>86</v>
      </c>
      <c r="I18" s="389"/>
      <c r="J18" s="390"/>
    </row>
    <row r="19" spans="3:10" x14ac:dyDescent="0.35">
      <c r="C19" s="370" t="s">
        <v>33</v>
      </c>
      <c r="D19" s="370"/>
      <c r="E19" s="370"/>
      <c r="F19" s="64">
        <v>12000</v>
      </c>
      <c r="G19" s="63"/>
      <c r="H19" s="388" t="s">
        <v>85</v>
      </c>
      <c r="I19" s="389"/>
      <c r="J19" s="390"/>
    </row>
    <row r="20" spans="3:10" x14ac:dyDescent="0.35">
      <c r="C20" s="382" t="s">
        <v>90</v>
      </c>
      <c r="D20" s="383"/>
      <c r="E20" s="384"/>
      <c r="F20" s="66">
        <v>7850</v>
      </c>
      <c r="G20" s="69"/>
      <c r="H20" s="376" t="s">
        <v>85</v>
      </c>
      <c r="I20" s="377"/>
      <c r="J20" s="378"/>
    </row>
    <row r="21" spans="3:10" x14ac:dyDescent="0.35">
      <c r="C21" s="385"/>
      <c r="D21" s="386"/>
      <c r="E21" s="387"/>
      <c r="F21" s="61">
        <f>SUM(F9:F20)</f>
        <v>67310.490000000005</v>
      </c>
      <c r="G21" s="58"/>
      <c r="H21" s="379"/>
      <c r="I21" s="380"/>
      <c r="J21" s="381"/>
    </row>
  </sheetData>
  <mergeCells count="28">
    <mergeCell ref="H20:J20"/>
    <mergeCell ref="H21:J21"/>
    <mergeCell ref="C20:E20"/>
    <mergeCell ref="C21:E21"/>
    <mergeCell ref="C8:E8"/>
    <mergeCell ref="H16:J16"/>
    <mergeCell ref="H17:J17"/>
    <mergeCell ref="H18:J18"/>
    <mergeCell ref="H19:J19"/>
    <mergeCell ref="C16:E16"/>
    <mergeCell ref="C17:E17"/>
    <mergeCell ref="C18:E18"/>
    <mergeCell ref="C19:E19"/>
    <mergeCell ref="C11:E11"/>
    <mergeCell ref="H11:J11"/>
    <mergeCell ref="H8:J8"/>
    <mergeCell ref="C9:E9"/>
    <mergeCell ref="H9:J9"/>
    <mergeCell ref="C10:E10"/>
    <mergeCell ref="H10:J10"/>
    <mergeCell ref="C15:E15"/>
    <mergeCell ref="H15:J15"/>
    <mergeCell ref="C12:E12"/>
    <mergeCell ref="H12:J12"/>
    <mergeCell ref="C13:E13"/>
    <mergeCell ref="H13:J13"/>
    <mergeCell ref="C14:E14"/>
    <mergeCell ref="H14:J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J20"/>
  <sheetViews>
    <sheetView workbookViewId="0">
      <selection activeCell="C17" sqref="C17:J18"/>
    </sheetView>
  </sheetViews>
  <sheetFormatPr defaultColWidth="9.1796875" defaultRowHeight="14.5" x14ac:dyDescent="0.35"/>
  <cols>
    <col min="1" max="2" width="9.1796875" style="74"/>
    <col min="3" max="3" width="11.81640625" style="74" bestFit="1" customWidth="1"/>
    <col min="4" max="4" width="9.1796875" style="74"/>
    <col min="5" max="5" width="11.81640625" style="74" bestFit="1" customWidth="1"/>
    <col min="6" max="6" width="9.54296875" style="74" bestFit="1" customWidth="1"/>
    <col min="7" max="7" width="20" style="74" bestFit="1" customWidth="1"/>
    <col min="8" max="9" width="9.1796875" style="74"/>
    <col min="10" max="10" width="11.54296875" style="74" customWidth="1"/>
    <col min="11" max="16384" width="9.1796875" style="74"/>
  </cols>
  <sheetData>
    <row r="2" spans="3:10" x14ac:dyDescent="0.35">
      <c r="D2" s="75"/>
      <c r="G2" s="76" t="s">
        <v>36</v>
      </c>
      <c r="H2" s="75"/>
    </row>
    <row r="3" spans="3:10" x14ac:dyDescent="0.35">
      <c r="D3" s="75"/>
      <c r="G3" s="76" t="s">
        <v>36</v>
      </c>
      <c r="H3" s="77"/>
      <c r="I3" s="77"/>
    </row>
    <row r="4" spans="3:10" x14ac:dyDescent="0.35">
      <c r="D4" s="75"/>
      <c r="G4" s="76" t="s">
        <v>36</v>
      </c>
      <c r="H4" s="75"/>
      <c r="I4" s="75"/>
    </row>
    <row r="5" spans="3:10" x14ac:dyDescent="0.35">
      <c r="D5" s="75"/>
      <c r="G5" s="75"/>
      <c r="H5" s="75"/>
      <c r="I5" s="75"/>
    </row>
    <row r="6" spans="3:10" x14ac:dyDescent="0.35">
      <c r="C6" s="75"/>
      <c r="D6" s="75"/>
      <c r="E6" s="75"/>
      <c r="F6" s="78"/>
      <c r="G6" s="75"/>
      <c r="H6" s="75"/>
      <c r="I6" s="75"/>
    </row>
    <row r="7" spans="3:10" x14ac:dyDescent="0.35">
      <c r="C7" s="75"/>
      <c r="D7" s="75"/>
      <c r="E7" s="75"/>
      <c r="F7" s="78"/>
      <c r="G7" s="75"/>
      <c r="H7" s="75"/>
      <c r="I7" s="75"/>
    </row>
    <row r="8" spans="3:10" x14ac:dyDescent="0.35">
      <c r="C8" s="392"/>
      <c r="D8" s="393"/>
      <c r="E8" s="394"/>
      <c r="F8" s="73" t="s">
        <v>49</v>
      </c>
      <c r="G8" s="70" t="s">
        <v>48</v>
      </c>
      <c r="H8" s="395" t="s">
        <v>44</v>
      </c>
      <c r="I8" s="395"/>
      <c r="J8" s="395"/>
    </row>
    <row r="9" spans="3:10" x14ac:dyDescent="0.35">
      <c r="C9" s="367" t="s">
        <v>23</v>
      </c>
      <c r="D9" s="367"/>
      <c r="E9" s="367"/>
      <c r="F9" s="79">
        <v>0</v>
      </c>
      <c r="G9" s="71"/>
      <c r="H9" s="369"/>
      <c r="I9" s="367"/>
      <c r="J9" s="367"/>
    </row>
    <row r="10" spans="3:10" x14ac:dyDescent="0.35">
      <c r="C10" s="396" t="s">
        <v>24</v>
      </c>
      <c r="D10" s="396"/>
      <c r="E10" s="396"/>
      <c r="F10" s="88">
        <v>70691.850000000006</v>
      </c>
      <c r="G10" s="87" t="s">
        <v>93</v>
      </c>
      <c r="H10" s="397" t="s">
        <v>93</v>
      </c>
      <c r="I10" s="398"/>
      <c r="J10" s="398"/>
    </row>
    <row r="11" spans="3:10" x14ac:dyDescent="0.35">
      <c r="C11" s="396" t="s">
        <v>25</v>
      </c>
      <c r="D11" s="396"/>
      <c r="E11" s="396"/>
      <c r="F11" s="85">
        <v>4606.1099999999997</v>
      </c>
      <c r="G11" s="86" t="s">
        <v>91</v>
      </c>
      <c r="H11" s="399" t="s">
        <v>96</v>
      </c>
      <c r="I11" s="400"/>
      <c r="J11" s="401"/>
    </row>
    <row r="12" spans="3:10" x14ac:dyDescent="0.35">
      <c r="C12" s="396" t="s">
        <v>26</v>
      </c>
      <c r="D12" s="396"/>
      <c r="E12" s="396"/>
      <c r="F12" s="85">
        <v>1623.7</v>
      </c>
      <c r="G12" s="86" t="s">
        <v>91</v>
      </c>
      <c r="H12" s="399" t="s">
        <v>96</v>
      </c>
      <c r="I12" s="400"/>
      <c r="J12" s="401"/>
    </row>
    <row r="13" spans="3:10" x14ac:dyDescent="0.35">
      <c r="C13" s="396" t="s">
        <v>27</v>
      </c>
      <c r="D13" s="396"/>
      <c r="E13" s="396"/>
      <c r="F13" s="85">
        <v>9465.84</v>
      </c>
      <c r="G13" s="87" t="s">
        <v>92</v>
      </c>
      <c r="H13" s="399" t="s">
        <v>96</v>
      </c>
      <c r="I13" s="400"/>
      <c r="J13" s="401"/>
    </row>
    <row r="14" spans="3:10" x14ac:dyDescent="0.35">
      <c r="C14" s="367" t="s">
        <v>28</v>
      </c>
      <c r="D14" s="367"/>
      <c r="E14" s="367"/>
      <c r="F14" s="80">
        <v>0</v>
      </c>
      <c r="G14" s="72"/>
      <c r="H14" s="402"/>
      <c r="I14" s="374"/>
      <c r="J14" s="374"/>
    </row>
    <row r="15" spans="3:10" x14ac:dyDescent="0.35">
      <c r="C15" s="367" t="s">
        <v>29</v>
      </c>
      <c r="D15" s="367"/>
      <c r="E15" s="367"/>
      <c r="F15" s="81">
        <v>5400.42</v>
      </c>
      <c r="G15" s="72"/>
      <c r="H15" s="373"/>
      <c r="I15" s="374"/>
      <c r="J15" s="374"/>
    </row>
    <row r="16" spans="3:10" x14ac:dyDescent="0.35">
      <c r="C16" s="396" t="s">
        <v>17</v>
      </c>
      <c r="D16" s="396"/>
      <c r="E16" s="396"/>
      <c r="F16" s="82">
        <v>1500</v>
      </c>
      <c r="G16" s="83"/>
      <c r="H16" s="399" t="s">
        <v>94</v>
      </c>
      <c r="I16" s="400"/>
      <c r="J16" s="401"/>
    </row>
    <row r="17" spans="3:10" x14ac:dyDescent="0.35">
      <c r="C17" s="396" t="s">
        <v>31</v>
      </c>
      <c r="D17" s="396"/>
      <c r="E17" s="396"/>
      <c r="F17" s="84">
        <v>8008</v>
      </c>
      <c r="G17" s="83"/>
      <c r="H17" s="399" t="s">
        <v>95</v>
      </c>
      <c r="I17" s="400"/>
      <c r="J17" s="401"/>
    </row>
    <row r="18" spans="3:10" x14ac:dyDescent="0.35">
      <c r="C18" s="396" t="s">
        <v>32</v>
      </c>
      <c r="D18" s="396"/>
      <c r="E18" s="396"/>
      <c r="F18" s="84">
        <v>7741</v>
      </c>
      <c r="G18" s="83"/>
      <c r="H18" s="399" t="s">
        <v>95</v>
      </c>
      <c r="I18" s="400"/>
      <c r="J18" s="401"/>
    </row>
    <row r="19" spans="3:10" x14ac:dyDescent="0.35">
      <c r="C19" s="367" t="s">
        <v>33</v>
      </c>
      <c r="D19" s="367"/>
      <c r="E19" s="367"/>
      <c r="F19" s="79">
        <v>12000</v>
      </c>
      <c r="G19" s="72"/>
      <c r="H19" s="406"/>
      <c r="I19" s="407"/>
      <c r="J19" s="408"/>
    </row>
    <row r="20" spans="3:10" x14ac:dyDescent="0.35">
      <c r="C20" s="392"/>
      <c r="D20" s="393"/>
      <c r="E20" s="394"/>
      <c r="F20" s="21">
        <f>SUM(F9:F19)</f>
        <v>121036.92</v>
      </c>
      <c r="G20" s="70"/>
      <c r="H20" s="403"/>
      <c r="I20" s="404"/>
      <c r="J20" s="405"/>
    </row>
  </sheetData>
  <mergeCells count="26">
    <mergeCell ref="C20:E20"/>
    <mergeCell ref="H20:J20"/>
    <mergeCell ref="C17:E17"/>
    <mergeCell ref="H17:J17"/>
    <mergeCell ref="C18:E18"/>
    <mergeCell ref="H18:J18"/>
    <mergeCell ref="C19:E19"/>
    <mergeCell ref="H19:J19"/>
    <mergeCell ref="C14:E14"/>
    <mergeCell ref="H14:J14"/>
    <mergeCell ref="C15:E15"/>
    <mergeCell ref="H15:J15"/>
    <mergeCell ref="C16:E16"/>
    <mergeCell ref="H16:J16"/>
    <mergeCell ref="C11:E11"/>
    <mergeCell ref="H11:J11"/>
    <mergeCell ref="C12:E12"/>
    <mergeCell ref="H12:J12"/>
    <mergeCell ref="C13:E13"/>
    <mergeCell ref="H13:J13"/>
    <mergeCell ref="C8:E8"/>
    <mergeCell ref="H8:J8"/>
    <mergeCell ref="C9:E9"/>
    <mergeCell ref="H9:J9"/>
    <mergeCell ref="C10:E10"/>
    <mergeCell ref="H10:J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J21"/>
  <sheetViews>
    <sheetView workbookViewId="0">
      <selection activeCell="G8" sqref="G8:J20"/>
    </sheetView>
  </sheetViews>
  <sheetFormatPr defaultColWidth="9.1796875" defaultRowHeight="14.5" x14ac:dyDescent="0.35"/>
  <cols>
    <col min="1" max="2" width="9.1796875" style="74"/>
    <col min="3" max="3" width="11.81640625" style="74" bestFit="1" customWidth="1"/>
    <col min="4" max="4" width="9.1796875" style="74"/>
    <col min="5" max="5" width="11.81640625" style="74" bestFit="1" customWidth="1"/>
    <col min="6" max="6" width="9.54296875" style="74" bestFit="1" customWidth="1"/>
    <col min="7" max="7" width="20" style="74" bestFit="1" customWidth="1"/>
    <col min="8" max="9" width="9.1796875" style="74"/>
    <col min="10" max="10" width="11.54296875" style="74" customWidth="1"/>
    <col min="11" max="16384" width="9.1796875" style="74"/>
  </cols>
  <sheetData>
    <row r="2" spans="3:10" x14ac:dyDescent="0.35">
      <c r="D2" s="75"/>
      <c r="G2" s="76" t="s">
        <v>36</v>
      </c>
      <c r="H2" s="75"/>
    </row>
    <row r="3" spans="3:10" x14ac:dyDescent="0.35">
      <c r="D3" s="75"/>
      <c r="G3" s="76" t="s">
        <v>36</v>
      </c>
      <c r="H3" s="77"/>
      <c r="I3" s="77"/>
    </row>
    <row r="4" spans="3:10" x14ac:dyDescent="0.35">
      <c r="D4" s="75"/>
      <c r="G4" s="76" t="s">
        <v>36</v>
      </c>
      <c r="H4" s="75"/>
      <c r="I4" s="75"/>
    </row>
    <row r="5" spans="3:10" x14ac:dyDescent="0.35">
      <c r="D5" s="75"/>
      <c r="G5" s="75"/>
      <c r="H5" s="75"/>
      <c r="I5" s="75"/>
    </row>
    <row r="6" spans="3:10" x14ac:dyDescent="0.35">
      <c r="C6" s="75"/>
      <c r="D6" s="75"/>
      <c r="E6" s="75"/>
      <c r="F6" s="78"/>
      <c r="G6" s="75"/>
      <c r="H6" s="75"/>
      <c r="I6" s="75"/>
    </row>
    <row r="7" spans="3:10" x14ac:dyDescent="0.35">
      <c r="C7" s="75"/>
      <c r="D7" s="75"/>
      <c r="E7" s="75"/>
      <c r="F7" s="78"/>
      <c r="G7" s="75"/>
      <c r="H7" s="75"/>
      <c r="I7" s="75"/>
    </row>
    <row r="8" spans="3:10" x14ac:dyDescent="0.35">
      <c r="C8" s="392"/>
      <c r="D8" s="393"/>
      <c r="E8" s="394"/>
      <c r="F8" s="93" t="s">
        <v>49</v>
      </c>
      <c r="G8" s="89" t="s">
        <v>48</v>
      </c>
      <c r="H8" s="395" t="s">
        <v>44</v>
      </c>
      <c r="I8" s="395"/>
      <c r="J8" s="395"/>
    </row>
    <row r="9" spans="3:10" x14ac:dyDescent="0.35">
      <c r="C9" s="367" t="s">
        <v>23</v>
      </c>
      <c r="D9" s="367"/>
      <c r="E9" s="367"/>
      <c r="F9" s="79">
        <v>0</v>
      </c>
      <c r="G9" s="90"/>
      <c r="H9" s="369"/>
      <c r="I9" s="367"/>
      <c r="J9" s="367"/>
    </row>
    <row r="10" spans="3:10" x14ac:dyDescent="0.35">
      <c r="C10" s="399" t="s">
        <v>24</v>
      </c>
      <c r="D10" s="400"/>
      <c r="E10" s="401"/>
      <c r="F10" s="88">
        <v>534.09</v>
      </c>
      <c r="G10" s="87" t="s">
        <v>98</v>
      </c>
      <c r="H10" s="399" t="s">
        <v>98</v>
      </c>
      <c r="I10" s="400"/>
      <c r="J10" s="401"/>
    </row>
    <row r="11" spans="3:10" x14ac:dyDescent="0.35">
      <c r="C11" s="367" t="s">
        <v>25</v>
      </c>
      <c r="D11" s="367"/>
      <c r="E11" s="367"/>
      <c r="F11" s="100">
        <v>14550.4</v>
      </c>
      <c r="G11" s="97" t="s">
        <v>104</v>
      </c>
      <c r="H11" s="406"/>
      <c r="I11" s="407"/>
      <c r="J11" s="408"/>
    </row>
    <row r="12" spans="3:10" x14ac:dyDescent="0.35">
      <c r="C12" s="396" t="s">
        <v>26</v>
      </c>
      <c r="D12" s="396"/>
      <c r="E12" s="396"/>
      <c r="F12" s="85">
        <v>0</v>
      </c>
      <c r="G12" s="98" t="s">
        <v>101</v>
      </c>
      <c r="H12" s="399"/>
      <c r="I12" s="400"/>
      <c r="J12" s="401"/>
    </row>
    <row r="13" spans="3:10" x14ac:dyDescent="0.35">
      <c r="C13" s="367" t="s">
        <v>27</v>
      </c>
      <c r="D13" s="367"/>
      <c r="E13" s="367"/>
      <c r="F13" s="100">
        <v>1304.6400000000001</v>
      </c>
      <c r="G13" s="92" t="s">
        <v>102</v>
      </c>
      <c r="H13" s="406" t="s">
        <v>102</v>
      </c>
      <c r="I13" s="407"/>
      <c r="J13" s="408"/>
    </row>
    <row r="14" spans="3:10" x14ac:dyDescent="0.35">
      <c r="C14" s="367" t="s">
        <v>28</v>
      </c>
      <c r="D14" s="367"/>
      <c r="E14" s="367"/>
      <c r="F14" s="101">
        <v>70700</v>
      </c>
      <c r="G14" s="90" t="s">
        <v>97</v>
      </c>
      <c r="H14" s="402"/>
      <c r="I14" s="374"/>
      <c r="J14" s="374"/>
    </row>
    <row r="15" spans="3:10" x14ac:dyDescent="0.35">
      <c r="C15" s="367" t="s">
        <v>29</v>
      </c>
      <c r="D15" s="367"/>
      <c r="E15" s="367"/>
      <c r="F15" s="101">
        <v>2729.42</v>
      </c>
      <c r="G15" s="91" t="s">
        <v>99</v>
      </c>
      <c r="H15" s="373"/>
      <c r="I15" s="374"/>
      <c r="J15" s="374"/>
    </row>
    <row r="16" spans="3:10" x14ac:dyDescent="0.35">
      <c r="C16" s="399" t="s">
        <v>17</v>
      </c>
      <c r="D16" s="400"/>
      <c r="E16" s="401"/>
      <c r="F16" s="88">
        <v>1500</v>
      </c>
      <c r="G16" s="83" t="s">
        <v>100</v>
      </c>
      <c r="H16" s="399" t="s">
        <v>100</v>
      </c>
      <c r="I16" s="400"/>
      <c r="J16" s="401"/>
    </row>
    <row r="17" spans="3:10" x14ac:dyDescent="0.35">
      <c r="C17" s="396" t="s">
        <v>31</v>
      </c>
      <c r="D17" s="396"/>
      <c r="E17" s="396"/>
      <c r="F17" s="88">
        <v>8008</v>
      </c>
      <c r="G17" s="83" t="s">
        <v>95</v>
      </c>
      <c r="H17" s="399" t="s">
        <v>95</v>
      </c>
      <c r="I17" s="400"/>
      <c r="J17" s="401"/>
    </row>
    <row r="18" spans="3:10" x14ac:dyDescent="0.35">
      <c r="C18" s="396" t="s">
        <v>32</v>
      </c>
      <c r="D18" s="396"/>
      <c r="E18" s="396"/>
      <c r="F18" s="88">
        <v>7741</v>
      </c>
      <c r="G18" s="83" t="s">
        <v>95</v>
      </c>
      <c r="H18" s="399" t="s">
        <v>95</v>
      </c>
      <c r="I18" s="400"/>
      <c r="J18" s="401"/>
    </row>
    <row r="19" spans="3:10" x14ac:dyDescent="0.35">
      <c r="C19" s="392" t="s">
        <v>33</v>
      </c>
      <c r="D19" s="393"/>
      <c r="E19" s="394"/>
      <c r="F19" s="99">
        <v>12000</v>
      </c>
      <c r="G19" s="91"/>
      <c r="H19" s="406"/>
      <c r="I19" s="407"/>
      <c r="J19" s="408"/>
    </row>
    <row r="20" spans="3:10" x14ac:dyDescent="0.35">
      <c r="C20" s="392" t="s">
        <v>103</v>
      </c>
      <c r="D20" s="393"/>
      <c r="E20" s="394"/>
      <c r="F20" s="99">
        <v>5000</v>
      </c>
      <c r="G20" s="91"/>
      <c r="H20" s="94"/>
      <c r="I20" s="95"/>
      <c r="J20" s="96"/>
    </row>
    <row r="21" spans="3:10" x14ac:dyDescent="0.35">
      <c r="C21" s="392"/>
      <c r="D21" s="393"/>
      <c r="E21" s="394"/>
      <c r="F21" s="97">
        <f>SUM(F9:F20)</f>
        <v>124067.55</v>
      </c>
      <c r="G21" s="89"/>
      <c r="H21" s="403"/>
      <c r="I21" s="404"/>
      <c r="J21" s="405"/>
    </row>
  </sheetData>
  <mergeCells count="27">
    <mergeCell ref="C21:E21"/>
    <mergeCell ref="H21:J21"/>
    <mergeCell ref="C20:E20"/>
    <mergeCell ref="C17:E17"/>
    <mergeCell ref="H17:J17"/>
    <mergeCell ref="C18:E18"/>
    <mergeCell ref="H18:J18"/>
    <mergeCell ref="C19:E19"/>
    <mergeCell ref="H19:J19"/>
    <mergeCell ref="C14:E14"/>
    <mergeCell ref="H14:J14"/>
    <mergeCell ref="C15:E15"/>
    <mergeCell ref="H15:J15"/>
    <mergeCell ref="C16:E16"/>
    <mergeCell ref="H16:J16"/>
    <mergeCell ref="C11:E11"/>
    <mergeCell ref="H11:J11"/>
    <mergeCell ref="C12:E12"/>
    <mergeCell ref="H12:J12"/>
    <mergeCell ref="C13:E13"/>
    <mergeCell ref="H13:J13"/>
    <mergeCell ref="C8:E8"/>
    <mergeCell ref="H8:J8"/>
    <mergeCell ref="C9:E9"/>
    <mergeCell ref="H9:J9"/>
    <mergeCell ref="C10:E10"/>
    <mergeCell ref="H10:J10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K18"/>
  <sheetViews>
    <sheetView workbookViewId="0"/>
  </sheetViews>
  <sheetFormatPr defaultRowHeight="14.5" x14ac:dyDescent="0.35"/>
  <cols>
    <col min="4" max="4" width="24.54296875" bestFit="1" customWidth="1"/>
    <col min="7" max="7" width="9.1796875" style="110"/>
    <col min="8" max="8" width="12.81640625" bestFit="1" customWidth="1"/>
  </cols>
  <sheetData>
    <row r="4" spans="4:11" x14ac:dyDescent="0.35">
      <c r="D4" s="395"/>
      <c r="E4" s="395"/>
      <c r="F4" s="395"/>
      <c r="G4" s="109" t="s">
        <v>49</v>
      </c>
      <c r="H4" s="102" t="s">
        <v>48</v>
      </c>
      <c r="I4" s="395" t="s">
        <v>44</v>
      </c>
      <c r="J4" s="395"/>
      <c r="K4" s="395"/>
    </row>
    <row r="5" spans="4:11" x14ac:dyDescent="0.35">
      <c r="D5" s="367" t="s">
        <v>23</v>
      </c>
      <c r="E5" s="367"/>
      <c r="F5" s="367"/>
      <c r="G5" s="111">
        <v>0</v>
      </c>
      <c r="H5" s="103"/>
      <c r="I5" s="369"/>
      <c r="J5" s="367"/>
      <c r="K5" s="367"/>
    </row>
    <row r="6" spans="4:11" x14ac:dyDescent="0.35">
      <c r="D6" s="373" t="s">
        <v>24</v>
      </c>
      <c r="E6" s="373"/>
      <c r="F6" s="373"/>
      <c r="G6" s="111">
        <v>2353</v>
      </c>
      <c r="H6" s="105"/>
      <c r="I6" s="373"/>
      <c r="J6" s="373"/>
      <c r="K6" s="373"/>
    </row>
    <row r="7" spans="4:11" x14ac:dyDescent="0.35">
      <c r="D7" s="367" t="s">
        <v>25</v>
      </c>
      <c r="E7" s="367"/>
      <c r="F7" s="367"/>
      <c r="G7" s="111">
        <v>2357.31</v>
      </c>
      <c r="H7" s="108" t="s">
        <v>108</v>
      </c>
      <c r="I7" s="373"/>
      <c r="J7" s="373"/>
      <c r="K7" s="373"/>
    </row>
    <row r="8" spans="4:11" x14ac:dyDescent="0.35">
      <c r="D8" s="367" t="s">
        <v>26</v>
      </c>
      <c r="E8" s="367"/>
      <c r="F8" s="367"/>
      <c r="G8" s="111">
        <v>0</v>
      </c>
      <c r="H8" s="106"/>
      <c r="I8" s="373"/>
      <c r="J8" s="373"/>
      <c r="K8" s="373"/>
    </row>
    <row r="9" spans="4:11" x14ac:dyDescent="0.35">
      <c r="D9" s="367" t="s">
        <v>27</v>
      </c>
      <c r="E9" s="367"/>
      <c r="F9" s="367"/>
      <c r="G9" s="111">
        <v>1302.31</v>
      </c>
      <c r="H9" s="107" t="s">
        <v>109</v>
      </c>
      <c r="I9" s="373"/>
      <c r="J9" s="373"/>
      <c r="K9" s="373"/>
    </row>
    <row r="10" spans="4:11" x14ac:dyDescent="0.35">
      <c r="D10" s="367" t="s">
        <v>28</v>
      </c>
      <c r="E10" s="367"/>
      <c r="F10" s="367"/>
      <c r="G10" s="111">
        <v>11437</v>
      </c>
      <c r="H10" s="103"/>
      <c r="I10" s="402"/>
      <c r="J10" s="374"/>
      <c r="K10" s="374"/>
    </row>
    <row r="11" spans="4:11" x14ac:dyDescent="0.35">
      <c r="D11" s="367" t="s">
        <v>29</v>
      </c>
      <c r="E11" s="367"/>
      <c r="F11" s="367"/>
      <c r="G11" s="111"/>
      <c r="H11" s="104"/>
      <c r="I11" s="373"/>
      <c r="J11" s="374"/>
      <c r="K11" s="374"/>
    </row>
    <row r="12" spans="4:11" x14ac:dyDescent="0.35">
      <c r="D12" s="373" t="s">
        <v>17</v>
      </c>
      <c r="E12" s="373"/>
      <c r="F12" s="373"/>
      <c r="G12" s="111">
        <v>1500</v>
      </c>
      <c r="H12" s="104" t="s">
        <v>107</v>
      </c>
      <c r="I12" s="373" t="s">
        <v>107</v>
      </c>
      <c r="J12" s="373"/>
      <c r="K12" s="373"/>
    </row>
    <row r="13" spans="4:11" x14ac:dyDescent="0.35">
      <c r="D13" s="367" t="s">
        <v>32</v>
      </c>
      <c r="E13" s="367"/>
      <c r="F13" s="367"/>
      <c r="G13" s="111">
        <v>7741</v>
      </c>
      <c r="H13" s="104"/>
      <c r="I13" s="373"/>
      <c r="J13" s="373"/>
      <c r="K13" s="373"/>
    </row>
    <row r="14" spans="4:11" x14ac:dyDescent="0.35">
      <c r="D14" s="374" t="s">
        <v>33</v>
      </c>
      <c r="E14" s="374"/>
      <c r="F14" s="374"/>
      <c r="G14" s="111">
        <v>12000</v>
      </c>
      <c r="H14" s="104"/>
      <c r="I14" s="373"/>
      <c r="J14" s="373"/>
      <c r="K14" s="373"/>
    </row>
    <row r="15" spans="4:11" x14ac:dyDescent="0.35">
      <c r="D15" s="374" t="s">
        <v>105</v>
      </c>
      <c r="E15" s="374"/>
      <c r="F15" s="374"/>
      <c r="G15" s="111">
        <v>11500</v>
      </c>
      <c r="H15" s="104" t="s">
        <v>107</v>
      </c>
      <c r="I15" s="373" t="s">
        <v>107</v>
      </c>
      <c r="J15" s="373"/>
      <c r="K15" s="373"/>
    </row>
    <row r="16" spans="4:11" x14ac:dyDescent="0.35">
      <c r="D16" s="403" t="s">
        <v>106</v>
      </c>
      <c r="E16" s="404"/>
      <c r="F16" s="405"/>
      <c r="G16" s="111">
        <v>5000</v>
      </c>
      <c r="H16" s="104"/>
      <c r="I16" s="406"/>
      <c r="J16" s="407"/>
      <c r="K16" s="408"/>
    </row>
    <row r="18" spans="7:7" x14ac:dyDescent="0.35">
      <c r="G18" s="110">
        <f>SUM(G5:G16)</f>
        <v>55190.619999999995</v>
      </c>
    </row>
  </sheetData>
  <mergeCells count="26">
    <mergeCell ref="I13:K13"/>
    <mergeCell ref="I14:K14"/>
    <mergeCell ref="I15:K15"/>
    <mergeCell ref="D16:F16"/>
    <mergeCell ref="I16:K16"/>
    <mergeCell ref="D14:F14"/>
    <mergeCell ref="D15:F15"/>
    <mergeCell ref="D13:F13"/>
    <mergeCell ref="I10:K10"/>
    <mergeCell ref="I11:K11"/>
    <mergeCell ref="I12:K12"/>
    <mergeCell ref="D9:F9"/>
    <mergeCell ref="D10:F10"/>
    <mergeCell ref="D11:F11"/>
    <mergeCell ref="D12:F12"/>
    <mergeCell ref="I9:K9"/>
    <mergeCell ref="D8:F8"/>
    <mergeCell ref="D4:F4"/>
    <mergeCell ref="I4:K4"/>
    <mergeCell ref="D5:F5"/>
    <mergeCell ref="D6:F6"/>
    <mergeCell ref="D7:F7"/>
    <mergeCell ref="I5:K5"/>
    <mergeCell ref="I6:K6"/>
    <mergeCell ref="I7:K7"/>
    <mergeCell ref="I8:K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P18"/>
  <sheetViews>
    <sheetView workbookViewId="0">
      <selection activeCell="D10" sqref="D10:K11"/>
    </sheetView>
  </sheetViews>
  <sheetFormatPr defaultRowHeight="14.5" x14ac:dyDescent="0.35"/>
  <cols>
    <col min="1" max="3" width="8.7265625" style="19"/>
    <col min="4" max="4" width="24.54296875" style="19" bestFit="1" customWidth="1"/>
    <col min="5" max="6" width="7.54296875" style="19" customWidth="1"/>
    <col min="7" max="7" width="10.26953125" style="110" bestFit="1" customWidth="1"/>
    <col min="8" max="8" width="12.36328125" style="19" bestFit="1" customWidth="1"/>
    <col min="9" max="13" width="8.7265625" style="19"/>
    <col min="14" max="14" width="13.36328125" style="19" bestFit="1" customWidth="1"/>
    <col min="15" max="15" width="10.81640625" style="19" bestFit="1" customWidth="1"/>
    <col min="16" max="16" width="8.7265625" style="1"/>
    <col min="17" max="16384" width="8.7265625" style="19"/>
  </cols>
  <sheetData>
    <row r="4" spans="4:16" x14ac:dyDescent="0.35">
      <c r="D4" s="395"/>
      <c r="E4" s="395"/>
      <c r="F4" s="395"/>
      <c r="G4" s="109" t="s">
        <v>49</v>
      </c>
      <c r="H4" s="112" t="s">
        <v>48</v>
      </c>
      <c r="I4" s="374" t="s">
        <v>44</v>
      </c>
      <c r="J4" s="374"/>
      <c r="K4" s="374"/>
    </row>
    <row r="5" spans="4:16" x14ac:dyDescent="0.35">
      <c r="D5" s="366" t="s">
        <v>23</v>
      </c>
      <c r="E5" s="366"/>
      <c r="F5" s="366"/>
      <c r="G5" s="115">
        <v>0</v>
      </c>
      <c r="H5" s="125"/>
      <c r="I5" s="411"/>
      <c r="J5" s="366"/>
      <c r="K5" s="366"/>
    </row>
    <row r="6" spans="4:16" x14ac:dyDescent="0.35">
      <c r="D6" s="410" t="s">
        <v>24</v>
      </c>
      <c r="E6" s="410"/>
      <c r="F6" s="410"/>
      <c r="G6" s="115">
        <v>0</v>
      </c>
      <c r="H6" s="126"/>
      <c r="I6" s="410"/>
      <c r="J6" s="410"/>
      <c r="K6" s="410"/>
      <c r="N6" s="19" t="s">
        <v>112</v>
      </c>
    </row>
    <row r="7" spans="4:16" x14ac:dyDescent="0.35">
      <c r="D7" s="396" t="s">
        <v>25</v>
      </c>
      <c r="E7" s="396"/>
      <c r="F7" s="396"/>
      <c r="G7" s="85">
        <v>6468.77</v>
      </c>
      <c r="H7" s="123"/>
      <c r="I7" s="409" t="s">
        <v>117</v>
      </c>
      <c r="J7" s="409"/>
      <c r="K7" s="409"/>
    </row>
    <row r="8" spans="4:16" x14ac:dyDescent="0.35">
      <c r="D8" s="366" t="s">
        <v>26</v>
      </c>
      <c r="E8" s="366"/>
      <c r="F8" s="366"/>
      <c r="G8" s="115">
        <v>0</v>
      </c>
      <c r="H8" s="32"/>
      <c r="I8" s="410"/>
      <c r="J8" s="410"/>
      <c r="K8" s="410"/>
      <c r="N8" s="117" t="s">
        <v>115</v>
      </c>
      <c r="O8" s="118" t="s">
        <v>113</v>
      </c>
      <c r="P8" s="1">
        <v>210</v>
      </c>
    </row>
    <row r="9" spans="4:16" x14ac:dyDescent="0.35">
      <c r="D9" s="367" t="s">
        <v>27</v>
      </c>
      <c r="E9" s="367"/>
      <c r="F9" s="367"/>
      <c r="G9" s="111">
        <v>112799.26</v>
      </c>
      <c r="H9" s="114"/>
      <c r="I9" s="373"/>
      <c r="J9" s="373"/>
      <c r="K9" s="373"/>
      <c r="N9" s="118" t="s">
        <v>116</v>
      </c>
      <c r="O9" s="118" t="s">
        <v>114</v>
      </c>
      <c r="P9" s="1">
        <v>2020</v>
      </c>
    </row>
    <row r="10" spans="4:16" x14ac:dyDescent="0.35">
      <c r="D10" s="409" t="s">
        <v>28</v>
      </c>
      <c r="E10" s="409"/>
      <c r="F10" s="409"/>
      <c r="G10" s="409">
        <v>248</v>
      </c>
      <c r="H10" s="409"/>
      <c r="I10" s="409" t="s">
        <v>117</v>
      </c>
      <c r="J10" s="409"/>
      <c r="K10" s="409"/>
    </row>
    <row r="11" spans="4:16" x14ac:dyDescent="0.35">
      <c r="D11" s="409" t="s">
        <v>29</v>
      </c>
      <c r="E11" s="409"/>
      <c r="F11" s="409"/>
      <c r="G11" s="409">
        <v>2384.86</v>
      </c>
      <c r="H11" s="409"/>
      <c r="I11" s="409" t="s">
        <v>117</v>
      </c>
      <c r="J11" s="409"/>
      <c r="K11" s="409"/>
    </row>
    <row r="12" spans="4:16" x14ac:dyDescent="0.35">
      <c r="D12" s="409" t="s">
        <v>17</v>
      </c>
      <c r="E12" s="409"/>
      <c r="F12" s="409"/>
      <c r="G12" s="124">
        <v>2000</v>
      </c>
      <c r="H12" s="83"/>
      <c r="I12" s="409" t="s">
        <v>117</v>
      </c>
      <c r="J12" s="409"/>
      <c r="K12" s="409"/>
    </row>
    <row r="13" spans="4:16" x14ac:dyDescent="0.35">
      <c r="D13" s="396" t="s">
        <v>32</v>
      </c>
      <c r="E13" s="396"/>
      <c r="F13" s="396"/>
      <c r="G13" s="124">
        <v>7741</v>
      </c>
      <c r="H13" s="83"/>
      <c r="I13" s="409" t="s">
        <v>117</v>
      </c>
      <c r="J13" s="409"/>
      <c r="K13" s="409"/>
    </row>
    <row r="14" spans="4:16" x14ac:dyDescent="0.35">
      <c r="D14" s="398" t="s">
        <v>33</v>
      </c>
      <c r="E14" s="398"/>
      <c r="F14" s="398"/>
      <c r="G14" s="124">
        <v>9800</v>
      </c>
      <c r="H14" s="83"/>
      <c r="I14" s="409" t="s">
        <v>117</v>
      </c>
      <c r="J14" s="409"/>
      <c r="K14" s="409"/>
    </row>
    <row r="15" spans="4:16" x14ac:dyDescent="0.35">
      <c r="D15" s="398" t="s">
        <v>105</v>
      </c>
      <c r="E15" s="398"/>
      <c r="F15" s="398"/>
      <c r="G15" s="124">
        <v>11500</v>
      </c>
      <c r="H15" s="83"/>
      <c r="I15" s="409" t="s">
        <v>117</v>
      </c>
      <c r="J15" s="409"/>
      <c r="K15" s="409"/>
    </row>
    <row r="16" spans="4:16" x14ac:dyDescent="0.35">
      <c r="D16" s="403" t="s">
        <v>106</v>
      </c>
      <c r="E16" s="404"/>
      <c r="F16" s="405"/>
      <c r="G16" s="111">
        <v>10000</v>
      </c>
      <c r="H16" s="113"/>
      <c r="I16" s="406"/>
      <c r="J16" s="407"/>
      <c r="K16" s="408"/>
    </row>
    <row r="18" spans="7:7" x14ac:dyDescent="0.35">
      <c r="G18" s="110">
        <f>SUM(G5:G16)</f>
        <v>162941.89000000001</v>
      </c>
    </row>
  </sheetData>
  <mergeCells count="28">
    <mergeCell ref="D4:F4"/>
    <mergeCell ref="I4:K4"/>
    <mergeCell ref="D5:F5"/>
    <mergeCell ref="I5:K5"/>
    <mergeCell ref="D6:F6"/>
    <mergeCell ref="I6:K6"/>
    <mergeCell ref="D7:F7"/>
    <mergeCell ref="I7:K7"/>
    <mergeCell ref="D8:F8"/>
    <mergeCell ref="I8:K8"/>
    <mergeCell ref="D9:F9"/>
    <mergeCell ref="I9:K9"/>
    <mergeCell ref="D10:F10"/>
    <mergeCell ref="D11:F11"/>
    <mergeCell ref="D12:F12"/>
    <mergeCell ref="I12:K12"/>
    <mergeCell ref="G10:I10"/>
    <mergeCell ref="J10:K10"/>
    <mergeCell ref="G11:I11"/>
    <mergeCell ref="J11:K11"/>
    <mergeCell ref="D16:F16"/>
    <mergeCell ref="I16:K16"/>
    <mergeCell ref="D13:F13"/>
    <mergeCell ref="I13:K13"/>
    <mergeCell ref="D14:F14"/>
    <mergeCell ref="I14:K14"/>
    <mergeCell ref="D15:F15"/>
    <mergeCell ref="I15:K1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O19"/>
  <sheetViews>
    <sheetView workbookViewId="0">
      <selection sqref="A1:XFD1048576"/>
    </sheetView>
  </sheetViews>
  <sheetFormatPr defaultRowHeight="14.5" x14ac:dyDescent="0.35"/>
  <cols>
    <col min="1" max="1" width="8.7265625" style="19"/>
    <col min="2" max="2" width="24.54296875" style="19" bestFit="1" customWidth="1"/>
    <col min="3" max="4" width="8.7265625" style="19"/>
    <col min="5" max="5" width="8.7265625" style="110"/>
    <col min="6" max="6" width="12.81640625" style="19" bestFit="1" customWidth="1"/>
    <col min="7" max="16384" width="8.7265625" style="19"/>
  </cols>
  <sheetData>
    <row r="2" spans="2:15" x14ac:dyDescent="0.35">
      <c r="B2" s="412"/>
      <c r="C2" s="412"/>
      <c r="D2" s="412"/>
      <c r="E2" s="129" t="s">
        <v>49</v>
      </c>
      <c r="F2" s="131" t="s">
        <v>48</v>
      </c>
      <c r="G2" s="412" t="s">
        <v>44</v>
      </c>
      <c r="H2" s="412"/>
      <c r="I2" s="412"/>
    </row>
    <row r="3" spans="2:15" x14ac:dyDescent="0.35">
      <c r="B3" s="374" t="s">
        <v>23</v>
      </c>
      <c r="C3" s="374"/>
      <c r="D3" s="374"/>
      <c r="E3" s="111"/>
      <c r="F3" s="127"/>
      <c r="G3" s="402"/>
      <c r="H3" s="374"/>
      <c r="I3" s="374"/>
      <c r="K3" s="19" t="s">
        <v>120</v>
      </c>
    </row>
    <row r="4" spans="2:15" x14ac:dyDescent="0.35">
      <c r="B4" s="373" t="s">
        <v>24</v>
      </c>
      <c r="C4" s="373"/>
      <c r="D4" s="373"/>
      <c r="E4" s="111"/>
      <c r="F4" s="127"/>
      <c r="G4" s="373"/>
      <c r="H4" s="373"/>
      <c r="I4" s="373"/>
      <c r="K4" s="19" t="s">
        <v>119</v>
      </c>
    </row>
    <row r="5" spans="2:15" x14ac:dyDescent="0.35">
      <c r="B5" s="372" t="s">
        <v>25</v>
      </c>
      <c r="C5" s="372"/>
      <c r="D5" s="372"/>
      <c r="E5" s="139">
        <v>21907.73</v>
      </c>
      <c r="F5" s="133">
        <v>44520</v>
      </c>
      <c r="G5" s="375" t="s">
        <v>124</v>
      </c>
      <c r="H5" s="375"/>
      <c r="I5" s="375"/>
      <c r="K5" s="19" t="s">
        <v>121</v>
      </c>
    </row>
    <row r="6" spans="2:15" x14ac:dyDescent="0.35">
      <c r="B6" s="413" t="s">
        <v>26</v>
      </c>
      <c r="C6" s="413"/>
      <c r="D6" s="413"/>
      <c r="E6" s="130">
        <v>0</v>
      </c>
      <c r="F6" s="32"/>
      <c r="G6" s="410"/>
      <c r="H6" s="410"/>
      <c r="I6" s="410"/>
    </row>
    <row r="7" spans="2:15" x14ac:dyDescent="0.35">
      <c r="B7" s="372" t="s">
        <v>27</v>
      </c>
      <c r="C7" s="372"/>
      <c r="D7" s="372"/>
      <c r="E7" s="139">
        <v>54635.01</v>
      </c>
      <c r="F7" s="133">
        <v>44509</v>
      </c>
      <c r="G7" s="375" t="s">
        <v>124</v>
      </c>
      <c r="H7" s="375"/>
      <c r="I7" s="375"/>
    </row>
    <row r="8" spans="2:15" x14ac:dyDescent="0.35">
      <c r="B8" s="372" t="s">
        <v>28</v>
      </c>
      <c r="C8" s="372"/>
      <c r="D8" s="372"/>
      <c r="E8" s="140">
        <v>63000</v>
      </c>
      <c r="F8" s="144">
        <v>44524</v>
      </c>
      <c r="G8" s="371" t="s">
        <v>135</v>
      </c>
      <c r="H8" s="372"/>
      <c r="I8" s="372"/>
    </row>
    <row r="9" spans="2:15" x14ac:dyDescent="0.35">
      <c r="B9" s="372" t="s">
        <v>29</v>
      </c>
      <c r="C9" s="372"/>
      <c r="D9" s="372"/>
      <c r="E9" s="140">
        <v>2385</v>
      </c>
      <c r="F9" s="142">
        <v>44528</v>
      </c>
      <c r="G9" s="375"/>
      <c r="H9" s="372"/>
      <c r="I9" s="372"/>
      <c r="K9" s="19" t="s">
        <v>132</v>
      </c>
    </row>
    <row r="10" spans="2:15" x14ac:dyDescent="0.35">
      <c r="B10" s="375" t="s">
        <v>17</v>
      </c>
      <c r="C10" s="375"/>
      <c r="D10" s="375"/>
      <c r="E10" s="140">
        <v>1500</v>
      </c>
      <c r="F10" s="133">
        <v>44501</v>
      </c>
      <c r="G10" s="375" t="s">
        <v>124</v>
      </c>
      <c r="H10" s="375"/>
      <c r="I10" s="375"/>
      <c r="K10" s="19" t="s">
        <v>131</v>
      </c>
      <c r="O10" s="1">
        <v>7676</v>
      </c>
    </row>
    <row r="11" spans="2:15" x14ac:dyDescent="0.35">
      <c r="B11" s="372" t="s">
        <v>32</v>
      </c>
      <c r="C11" s="372"/>
      <c r="D11" s="372"/>
      <c r="E11" s="140">
        <v>7741</v>
      </c>
      <c r="F11" s="144">
        <v>44505</v>
      </c>
      <c r="G11" s="375" t="s">
        <v>136</v>
      </c>
      <c r="H11" s="375"/>
      <c r="I11" s="375"/>
      <c r="K11" s="19" t="s">
        <v>133</v>
      </c>
      <c r="O11" s="143">
        <v>21907.79</v>
      </c>
    </row>
    <row r="12" spans="2:15" x14ac:dyDescent="0.35">
      <c r="B12" s="372" t="s">
        <v>33</v>
      </c>
      <c r="C12" s="372"/>
      <c r="D12" s="372"/>
      <c r="E12" s="140">
        <v>14000</v>
      </c>
      <c r="F12" s="138">
        <v>44503</v>
      </c>
      <c r="G12" s="375" t="s">
        <v>134</v>
      </c>
      <c r="H12" s="375"/>
      <c r="I12" s="375"/>
      <c r="K12" s="19" t="s">
        <v>123</v>
      </c>
    </row>
    <row r="13" spans="2:15" x14ac:dyDescent="0.35">
      <c r="B13" s="413" t="s">
        <v>105</v>
      </c>
      <c r="C13" s="413"/>
      <c r="D13" s="413"/>
      <c r="E13" s="130">
        <v>0</v>
      </c>
      <c r="F13" s="32"/>
      <c r="G13" s="410"/>
      <c r="H13" s="410"/>
      <c r="I13" s="410"/>
      <c r="K13" s="19" t="s">
        <v>122</v>
      </c>
    </row>
    <row r="14" spans="2:15" x14ac:dyDescent="0.35">
      <c r="B14" s="403" t="s">
        <v>106</v>
      </c>
      <c r="C14" s="404"/>
      <c r="D14" s="405"/>
      <c r="E14" s="111">
        <v>5000</v>
      </c>
      <c r="F14" s="128"/>
      <c r="G14" s="406"/>
      <c r="H14" s="407"/>
      <c r="I14" s="408"/>
      <c r="M14" s="19">
        <v>79751</v>
      </c>
    </row>
    <row r="15" spans="2:15" x14ac:dyDescent="0.35">
      <c r="B15" s="403" t="s">
        <v>126</v>
      </c>
      <c r="C15" s="404"/>
      <c r="D15" s="405"/>
      <c r="E15" s="111">
        <v>0</v>
      </c>
      <c r="F15" s="137"/>
      <c r="G15" s="134"/>
      <c r="H15" s="135"/>
      <c r="I15" s="136"/>
      <c r="M15" s="19">
        <v>-1500</v>
      </c>
      <c r="N15" s="19" t="s">
        <v>128</v>
      </c>
    </row>
    <row r="16" spans="2:15" x14ac:dyDescent="0.35">
      <c r="B16" s="403" t="s">
        <v>125</v>
      </c>
      <c r="C16" s="404"/>
      <c r="D16" s="405"/>
      <c r="E16" s="141">
        <v>11000</v>
      </c>
      <c r="F16" s="132"/>
      <c r="G16" s="403"/>
      <c r="H16" s="404"/>
      <c r="I16" s="405"/>
      <c r="M16" s="19">
        <v>-260</v>
      </c>
      <c r="N16" s="19" t="s">
        <v>127</v>
      </c>
    </row>
    <row r="17" spans="5:14" x14ac:dyDescent="0.35">
      <c r="E17" s="110">
        <f>SUM(E3:E16)</f>
        <v>181168.74</v>
      </c>
      <c r="M17" s="19">
        <v>-14000</v>
      </c>
      <c r="N17" s="19" t="s">
        <v>129</v>
      </c>
    </row>
    <row r="18" spans="5:14" x14ac:dyDescent="0.35">
      <c r="M18" s="19">
        <v>-11000</v>
      </c>
      <c r="N18" s="19" t="s">
        <v>130</v>
      </c>
    </row>
    <row r="19" spans="5:14" x14ac:dyDescent="0.35">
      <c r="M19" s="19">
        <v>-4218</v>
      </c>
    </row>
  </sheetData>
  <mergeCells count="29">
    <mergeCell ref="B16:D16"/>
    <mergeCell ref="G16:I16"/>
    <mergeCell ref="B15:D15"/>
    <mergeCell ref="B14:D14"/>
    <mergeCell ref="G14:I14"/>
    <mergeCell ref="B11:D11"/>
    <mergeCell ref="G11:I11"/>
    <mergeCell ref="B12:D12"/>
    <mergeCell ref="G12:I12"/>
    <mergeCell ref="B13:D13"/>
    <mergeCell ref="G13:I13"/>
    <mergeCell ref="B8:D8"/>
    <mergeCell ref="G8:I8"/>
    <mergeCell ref="B9:D9"/>
    <mergeCell ref="G9:I9"/>
    <mergeCell ref="B10:D10"/>
    <mergeCell ref="G10:I10"/>
    <mergeCell ref="B5:D5"/>
    <mergeCell ref="G5:I5"/>
    <mergeCell ref="B6:D6"/>
    <mergeCell ref="G6:I6"/>
    <mergeCell ref="B7:D7"/>
    <mergeCell ref="G7:I7"/>
    <mergeCell ref="B2:D2"/>
    <mergeCell ref="G2:I2"/>
    <mergeCell ref="B3:D3"/>
    <mergeCell ref="G3:I3"/>
    <mergeCell ref="B4:D4"/>
    <mergeCell ref="G4:I4"/>
  </mergeCells>
  <pageMargins left="0.7" right="0.7" top="0.75" bottom="0.75" header="0.3" footer="0.3"/>
  <pageSetup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7"/>
  <sheetViews>
    <sheetView workbookViewId="0">
      <selection activeCell="E17" sqref="E17"/>
    </sheetView>
  </sheetViews>
  <sheetFormatPr defaultRowHeight="14.5" x14ac:dyDescent="0.35"/>
  <cols>
    <col min="1" max="1" width="8.7265625" style="19"/>
    <col min="2" max="2" width="24.54296875" style="19" bestFit="1" customWidth="1"/>
    <col min="3" max="4" width="8.7265625" style="19"/>
    <col min="5" max="5" width="8.7265625" style="110"/>
    <col min="6" max="6" width="15.453125" style="19" customWidth="1"/>
    <col min="7" max="16384" width="8.7265625" style="19"/>
  </cols>
  <sheetData>
    <row r="2" spans="2:9" x14ac:dyDescent="0.35">
      <c r="B2" s="412"/>
      <c r="C2" s="412"/>
      <c r="D2" s="412"/>
      <c r="E2" s="146" t="s">
        <v>49</v>
      </c>
      <c r="F2" s="145" t="s">
        <v>48</v>
      </c>
      <c r="G2" s="412" t="s">
        <v>44</v>
      </c>
      <c r="H2" s="412"/>
      <c r="I2" s="412"/>
    </row>
    <row r="3" spans="2:9" x14ac:dyDescent="0.35">
      <c r="B3" s="398" t="s">
        <v>23</v>
      </c>
      <c r="C3" s="398"/>
      <c r="D3" s="398"/>
      <c r="E3" s="124">
        <v>50500</v>
      </c>
      <c r="F3" s="153" t="s">
        <v>137</v>
      </c>
      <c r="G3" s="397" t="s">
        <v>137</v>
      </c>
      <c r="H3" s="398"/>
      <c r="I3" s="398"/>
    </row>
    <row r="4" spans="2:9" x14ac:dyDescent="0.35">
      <c r="B4" s="409" t="s">
        <v>24</v>
      </c>
      <c r="C4" s="409"/>
      <c r="D4" s="409"/>
      <c r="E4" s="124">
        <v>1416</v>
      </c>
      <c r="F4" s="152" t="s">
        <v>138</v>
      </c>
      <c r="G4" s="409" t="s">
        <v>144</v>
      </c>
      <c r="H4" s="409"/>
      <c r="I4" s="409"/>
    </row>
    <row r="5" spans="2:9" x14ac:dyDescent="0.35">
      <c r="B5" s="398" t="s">
        <v>25</v>
      </c>
      <c r="C5" s="398"/>
      <c r="D5" s="398"/>
      <c r="E5" s="159">
        <v>16708.37</v>
      </c>
      <c r="F5" s="156" t="s">
        <v>147</v>
      </c>
      <c r="G5" s="409">
        <v>44541</v>
      </c>
      <c r="H5" s="409"/>
      <c r="I5" s="409"/>
    </row>
    <row r="6" spans="2:9" x14ac:dyDescent="0.35">
      <c r="B6" s="414" t="s">
        <v>26</v>
      </c>
      <c r="C6" s="414"/>
      <c r="D6" s="414"/>
      <c r="E6" s="160">
        <v>0</v>
      </c>
      <c r="F6" s="161"/>
      <c r="G6" s="415"/>
      <c r="H6" s="415"/>
      <c r="I6" s="415"/>
    </row>
    <row r="7" spans="2:9" x14ac:dyDescent="0.35">
      <c r="B7" s="398" t="s">
        <v>27</v>
      </c>
      <c r="C7" s="398"/>
      <c r="D7" s="398"/>
      <c r="E7" s="159">
        <v>33482.78</v>
      </c>
      <c r="F7" s="156" t="s">
        <v>143</v>
      </c>
      <c r="G7" s="409">
        <v>44541</v>
      </c>
      <c r="H7" s="409"/>
      <c r="I7" s="409"/>
    </row>
    <row r="8" spans="2:9" x14ac:dyDescent="0.35">
      <c r="B8" s="398" t="s">
        <v>28</v>
      </c>
      <c r="C8" s="398"/>
      <c r="D8" s="398"/>
      <c r="E8" s="124">
        <v>114.27</v>
      </c>
      <c r="F8" s="156" t="s">
        <v>139</v>
      </c>
      <c r="G8" s="409">
        <v>44541</v>
      </c>
      <c r="H8" s="409"/>
      <c r="I8" s="409"/>
    </row>
    <row r="9" spans="2:9" x14ac:dyDescent="0.35">
      <c r="B9" s="398" t="s">
        <v>29</v>
      </c>
      <c r="C9" s="398"/>
      <c r="D9" s="398"/>
      <c r="E9" s="124">
        <v>61996</v>
      </c>
      <c r="F9" s="163" t="s">
        <v>140</v>
      </c>
      <c r="G9" s="409" t="s">
        <v>152</v>
      </c>
      <c r="H9" s="398"/>
      <c r="I9" s="398"/>
    </row>
    <row r="10" spans="2:9" x14ac:dyDescent="0.35">
      <c r="B10" s="409" t="s">
        <v>17</v>
      </c>
      <c r="C10" s="409"/>
      <c r="D10" s="409"/>
      <c r="E10" s="124">
        <v>1500</v>
      </c>
      <c r="F10" s="152" t="s">
        <v>142</v>
      </c>
      <c r="G10" s="409" t="s">
        <v>144</v>
      </c>
      <c r="H10" s="409"/>
      <c r="I10" s="409"/>
    </row>
    <row r="11" spans="2:9" x14ac:dyDescent="0.35">
      <c r="B11" s="398" t="s">
        <v>32</v>
      </c>
      <c r="C11" s="398"/>
      <c r="D11" s="398"/>
      <c r="E11" s="124">
        <v>7741</v>
      </c>
      <c r="F11" s="155" t="s">
        <v>141</v>
      </c>
      <c r="G11" s="409"/>
      <c r="H11" s="409"/>
      <c r="I11" s="409"/>
    </row>
    <row r="12" spans="2:9" x14ac:dyDescent="0.35">
      <c r="B12" s="398" t="s">
        <v>33</v>
      </c>
      <c r="C12" s="398"/>
      <c r="D12" s="398"/>
      <c r="E12" s="124">
        <v>14000</v>
      </c>
      <c r="F12" s="155" t="s">
        <v>146</v>
      </c>
      <c r="G12" s="409"/>
      <c r="H12" s="409"/>
      <c r="I12" s="409"/>
    </row>
    <row r="13" spans="2:9" x14ac:dyDescent="0.35">
      <c r="B13" s="398" t="s">
        <v>105</v>
      </c>
      <c r="C13" s="398"/>
      <c r="D13" s="398"/>
      <c r="E13" s="124">
        <v>0</v>
      </c>
      <c r="F13" s="162"/>
      <c r="G13" s="409"/>
      <c r="H13" s="409"/>
      <c r="I13" s="409"/>
    </row>
    <row r="14" spans="2:9" x14ac:dyDescent="0.35">
      <c r="B14" s="416" t="s">
        <v>106</v>
      </c>
      <c r="C14" s="417"/>
      <c r="D14" s="418"/>
      <c r="E14" s="124">
        <v>5000</v>
      </c>
      <c r="F14" s="154" t="s">
        <v>145</v>
      </c>
      <c r="G14" s="399"/>
      <c r="H14" s="400"/>
      <c r="I14" s="401"/>
    </row>
    <row r="15" spans="2:9" x14ac:dyDescent="0.35">
      <c r="B15" s="403" t="s">
        <v>126</v>
      </c>
      <c r="C15" s="404"/>
      <c r="D15" s="405"/>
      <c r="E15" s="111">
        <v>10790</v>
      </c>
      <c r="F15" s="151"/>
      <c r="G15" s="148"/>
      <c r="H15" s="149"/>
      <c r="I15" s="150"/>
    </row>
    <row r="16" spans="2:9" x14ac:dyDescent="0.35">
      <c r="B16" s="403" t="s">
        <v>125</v>
      </c>
      <c r="C16" s="404"/>
      <c r="D16" s="405"/>
      <c r="E16" s="111">
        <v>10900</v>
      </c>
      <c r="F16" s="147"/>
      <c r="G16" s="403"/>
      <c r="H16" s="404"/>
      <c r="I16" s="405"/>
    </row>
    <row r="17" spans="5:5" x14ac:dyDescent="0.35">
      <c r="E17" s="110">
        <f>SUM(E3:E16)</f>
        <v>214148.41999999998</v>
      </c>
    </row>
  </sheetData>
  <mergeCells count="29">
    <mergeCell ref="B14:D14"/>
    <mergeCell ref="G14:I14"/>
    <mergeCell ref="B15:D15"/>
    <mergeCell ref="B16:D16"/>
    <mergeCell ref="G16:I16"/>
    <mergeCell ref="B11:D11"/>
    <mergeCell ref="G11:I11"/>
    <mergeCell ref="B12:D12"/>
    <mergeCell ref="G12:I12"/>
    <mergeCell ref="B13:D13"/>
    <mergeCell ref="G13:I13"/>
    <mergeCell ref="B8:D8"/>
    <mergeCell ref="G8:I8"/>
    <mergeCell ref="B9:D9"/>
    <mergeCell ref="G9:I9"/>
    <mergeCell ref="B10:D10"/>
    <mergeCell ref="G10:I10"/>
    <mergeCell ref="B5:D5"/>
    <mergeCell ref="G5:I5"/>
    <mergeCell ref="B6:D6"/>
    <mergeCell ref="G6:I6"/>
    <mergeCell ref="B7:D7"/>
    <mergeCell ref="G7:I7"/>
    <mergeCell ref="B2:D2"/>
    <mergeCell ref="G2:I2"/>
    <mergeCell ref="B3:D3"/>
    <mergeCell ref="G3:I3"/>
    <mergeCell ref="B4:D4"/>
    <mergeCell ref="G4:I4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7"/>
  <sheetViews>
    <sheetView workbookViewId="0">
      <selection activeCell="B7" sqref="B7:E7"/>
    </sheetView>
  </sheetViews>
  <sheetFormatPr defaultRowHeight="14.5" x14ac:dyDescent="0.35"/>
  <cols>
    <col min="1" max="1" width="8.7265625" style="19"/>
    <col min="2" max="2" width="22.81640625" style="19" bestFit="1" customWidth="1"/>
    <col min="3" max="3" width="9.81640625" style="110" bestFit="1" customWidth="1"/>
    <col min="4" max="4" width="14.7265625" style="19" bestFit="1" customWidth="1"/>
    <col min="5" max="5" width="13.7265625" style="19" bestFit="1" customWidth="1"/>
    <col min="6" max="6" width="8.7265625" style="19"/>
    <col min="7" max="7" width="22" style="19" bestFit="1" customWidth="1"/>
    <col min="8" max="16384" width="8.7265625" style="19"/>
  </cols>
  <sheetData>
    <row r="1" spans="2:10" ht="15" thickBot="1" x14ac:dyDescent="0.4"/>
    <row r="2" spans="2:10" ht="14.5" customHeight="1" x14ac:dyDescent="0.35">
      <c r="B2" s="158"/>
      <c r="C2" s="146" t="s">
        <v>49</v>
      </c>
      <c r="D2" s="145" t="s">
        <v>48</v>
      </c>
      <c r="E2" s="158" t="s">
        <v>44</v>
      </c>
      <c r="G2" s="419" t="s">
        <v>153</v>
      </c>
      <c r="H2" s="420"/>
      <c r="I2" s="169"/>
      <c r="J2" s="165"/>
    </row>
    <row r="3" spans="2:10" x14ac:dyDescent="0.35">
      <c r="B3" s="175" t="s">
        <v>23</v>
      </c>
      <c r="C3" s="124">
        <v>0</v>
      </c>
      <c r="D3" s="176"/>
      <c r="E3" s="174"/>
      <c r="G3" s="421"/>
      <c r="H3" s="422"/>
      <c r="I3" s="168"/>
      <c r="J3" s="165"/>
    </row>
    <row r="4" spans="2:10" x14ac:dyDescent="0.35">
      <c r="B4" s="185" t="s">
        <v>24</v>
      </c>
      <c r="C4" s="124">
        <v>50500</v>
      </c>
      <c r="D4" s="185" t="s">
        <v>151</v>
      </c>
      <c r="E4" s="185" t="s">
        <v>151</v>
      </c>
      <c r="G4" s="421"/>
      <c r="H4" s="422"/>
      <c r="I4" s="168"/>
      <c r="J4" s="165"/>
    </row>
    <row r="5" spans="2:10" x14ac:dyDescent="0.35">
      <c r="B5" s="184" t="s">
        <v>25</v>
      </c>
      <c r="C5" s="159">
        <v>15550.03</v>
      </c>
      <c r="D5" s="185" t="s">
        <v>155</v>
      </c>
      <c r="E5" s="185" t="s">
        <v>151</v>
      </c>
      <c r="G5" s="421"/>
      <c r="H5" s="422"/>
      <c r="I5" s="168"/>
      <c r="J5" s="165"/>
    </row>
    <row r="6" spans="2:10" x14ac:dyDescent="0.35">
      <c r="B6" s="179" t="s">
        <v>26</v>
      </c>
      <c r="C6" s="160">
        <v>0</v>
      </c>
      <c r="D6" s="161"/>
      <c r="E6" s="180"/>
      <c r="G6" s="421"/>
      <c r="H6" s="422"/>
      <c r="I6" s="168"/>
      <c r="J6" s="164"/>
    </row>
    <row r="7" spans="2:10" ht="15" thickBot="1" x14ac:dyDescent="0.4">
      <c r="B7" s="184" t="s">
        <v>27</v>
      </c>
      <c r="C7" s="187">
        <v>12257.61</v>
      </c>
      <c r="D7" s="185" t="s">
        <v>148</v>
      </c>
      <c r="E7" s="185" t="s">
        <v>151</v>
      </c>
      <c r="G7" s="423"/>
      <c r="H7" s="424"/>
      <c r="I7" s="169"/>
      <c r="J7" s="164"/>
    </row>
    <row r="8" spans="2:10" x14ac:dyDescent="0.35">
      <c r="B8" s="175" t="s">
        <v>28</v>
      </c>
      <c r="C8" s="124">
        <v>0</v>
      </c>
      <c r="D8" s="176"/>
      <c r="E8" s="176"/>
      <c r="G8" s="182"/>
      <c r="H8" s="182"/>
      <c r="I8" s="182"/>
      <c r="J8" s="164"/>
    </row>
    <row r="9" spans="2:10" x14ac:dyDescent="0.35">
      <c r="B9" s="157" t="s">
        <v>29</v>
      </c>
      <c r="C9" s="111">
        <v>0</v>
      </c>
      <c r="D9" s="183" t="s">
        <v>157</v>
      </c>
      <c r="E9" s="183" t="s">
        <v>156</v>
      </c>
      <c r="G9" s="425" t="s">
        <v>154</v>
      </c>
      <c r="H9" s="425"/>
      <c r="I9" s="182"/>
      <c r="J9" s="164"/>
    </row>
    <row r="10" spans="2:10" x14ac:dyDescent="0.35">
      <c r="B10" s="176" t="s">
        <v>17</v>
      </c>
      <c r="C10" s="124">
        <v>1500</v>
      </c>
      <c r="D10" s="176" t="s">
        <v>149</v>
      </c>
      <c r="E10" s="176"/>
      <c r="G10" s="425"/>
      <c r="H10" s="425"/>
      <c r="I10" s="182"/>
    </row>
    <row r="11" spans="2:10" x14ac:dyDescent="0.35">
      <c r="B11" s="175" t="s">
        <v>32</v>
      </c>
      <c r="C11" s="124">
        <v>7741</v>
      </c>
      <c r="D11" s="176" t="s">
        <v>150</v>
      </c>
      <c r="E11" s="176" t="s">
        <v>150</v>
      </c>
      <c r="G11" s="425"/>
      <c r="H11" s="425"/>
    </row>
    <row r="12" spans="2:10" x14ac:dyDescent="0.35">
      <c r="B12" s="175" t="s">
        <v>33</v>
      </c>
      <c r="C12" s="124">
        <v>14000</v>
      </c>
      <c r="D12" s="176" t="s">
        <v>150</v>
      </c>
      <c r="E12" s="176"/>
      <c r="G12" s="425"/>
      <c r="H12" s="425"/>
    </row>
    <row r="13" spans="2:10" x14ac:dyDescent="0.35">
      <c r="B13" s="175" t="s">
        <v>105</v>
      </c>
      <c r="C13" s="124">
        <v>0</v>
      </c>
      <c r="D13" s="174"/>
      <c r="E13" s="176"/>
      <c r="G13" s="425"/>
      <c r="H13" s="425"/>
    </row>
    <row r="14" spans="2:10" x14ac:dyDescent="0.35">
      <c r="B14" s="186" t="s">
        <v>106</v>
      </c>
      <c r="C14" s="124">
        <v>5000</v>
      </c>
      <c r="D14" s="185" t="s">
        <v>150</v>
      </c>
      <c r="E14" s="185" t="s">
        <v>151</v>
      </c>
      <c r="G14" s="425"/>
      <c r="H14" s="425"/>
    </row>
    <row r="15" spans="2:10" x14ac:dyDescent="0.35">
      <c r="B15" s="178" t="s">
        <v>126</v>
      </c>
      <c r="C15" s="124">
        <v>0</v>
      </c>
      <c r="D15" s="176"/>
      <c r="E15" s="172"/>
    </row>
    <row r="16" spans="2:10" x14ac:dyDescent="0.35">
      <c r="B16" s="178" t="s">
        <v>125</v>
      </c>
      <c r="C16" s="124">
        <v>0</v>
      </c>
      <c r="D16" s="176"/>
      <c r="E16" s="178"/>
    </row>
    <row r="17" spans="3:3" x14ac:dyDescent="0.35">
      <c r="C17" s="110">
        <f>SUM(C3:C16)</f>
        <v>106548.64</v>
      </c>
    </row>
  </sheetData>
  <mergeCells count="2">
    <mergeCell ref="G2:H7"/>
    <mergeCell ref="G9:H1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7"/>
  <sheetViews>
    <sheetView workbookViewId="0">
      <selection sqref="A1:XFD1048576"/>
    </sheetView>
  </sheetViews>
  <sheetFormatPr defaultRowHeight="14.5" x14ac:dyDescent="0.35"/>
  <cols>
    <col min="1" max="1" width="8.7265625" style="19"/>
    <col min="2" max="2" width="22.81640625" style="19" bestFit="1" customWidth="1"/>
    <col min="3" max="3" width="9.81640625" style="110" bestFit="1" customWidth="1"/>
    <col min="4" max="4" width="15.7265625" style="19" bestFit="1" customWidth="1"/>
    <col min="5" max="5" width="18.08984375" style="19" customWidth="1"/>
    <col min="6" max="6" width="8.7265625" style="19"/>
    <col min="7" max="7" width="22" style="19" bestFit="1" customWidth="1"/>
    <col min="8" max="16384" width="8.7265625" style="19"/>
  </cols>
  <sheetData>
    <row r="1" spans="2:10" ht="15" thickBot="1" x14ac:dyDescent="0.4"/>
    <row r="2" spans="2:10" ht="14.5" customHeight="1" x14ac:dyDescent="0.35">
      <c r="B2" s="177"/>
      <c r="C2" s="146" t="s">
        <v>49</v>
      </c>
      <c r="D2" s="145" t="s">
        <v>48</v>
      </c>
      <c r="E2" s="177" t="s">
        <v>44</v>
      </c>
      <c r="G2" s="419" t="s">
        <v>153</v>
      </c>
      <c r="H2" s="420"/>
      <c r="I2" s="169"/>
      <c r="J2" s="181"/>
    </row>
    <row r="3" spans="2:10" x14ac:dyDescent="0.35">
      <c r="B3" s="192" t="s">
        <v>23</v>
      </c>
      <c r="C3" s="124">
        <v>657</v>
      </c>
      <c r="D3" s="194" t="s">
        <v>160</v>
      </c>
      <c r="E3" s="193" t="s">
        <v>161</v>
      </c>
      <c r="G3" s="421"/>
      <c r="H3" s="422"/>
      <c r="I3" s="168"/>
      <c r="J3" s="181"/>
    </row>
    <row r="4" spans="2:10" x14ac:dyDescent="0.35">
      <c r="B4" s="193" t="s">
        <v>24</v>
      </c>
      <c r="C4" s="124">
        <v>14398.2</v>
      </c>
      <c r="D4" s="194" t="s">
        <v>159</v>
      </c>
      <c r="E4" s="193" t="s">
        <v>161</v>
      </c>
      <c r="G4" s="421"/>
      <c r="H4" s="422"/>
      <c r="I4" s="168"/>
      <c r="J4" s="181"/>
    </row>
    <row r="5" spans="2:10" x14ac:dyDescent="0.35">
      <c r="B5" s="171" t="s">
        <v>25</v>
      </c>
      <c r="C5" s="101">
        <v>16351.88</v>
      </c>
      <c r="D5" s="189" t="s">
        <v>162</v>
      </c>
      <c r="E5" s="189" t="s">
        <v>158</v>
      </c>
      <c r="G5" s="421"/>
      <c r="H5" s="422"/>
      <c r="I5" s="168"/>
      <c r="J5" s="181"/>
    </row>
    <row r="6" spans="2:10" x14ac:dyDescent="0.35">
      <c r="B6" s="166" t="s">
        <v>26</v>
      </c>
      <c r="C6" s="191">
        <v>60600</v>
      </c>
      <c r="D6" s="189" t="s">
        <v>162</v>
      </c>
      <c r="E6" s="167"/>
      <c r="G6" s="421"/>
      <c r="H6" s="422"/>
      <c r="I6" s="168"/>
      <c r="J6" s="164"/>
    </row>
    <row r="7" spans="2:10" ht="15" thickBot="1" x14ac:dyDescent="0.4">
      <c r="B7" s="190" t="s">
        <v>27</v>
      </c>
      <c r="C7" s="191">
        <v>62282.7</v>
      </c>
      <c r="D7" s="189" t="s">
        <v>158</v>
      </c>
      <c r="E7" s="189" t="s">
        <v>158</v>
      </c>
      <c r="G7" s="423"/>
      <c r="H7" s="424"/>
      <c r="I7" s="169"/>
      <c r="J7" s="164"/>
    </row>
    <row r="8" spans="2:10" x14ac:dyDescent="0.35">
      <c r="B8" s="171" t="s">
        <v>28</v>
      </c>
      <c r="C8" s="111">
        <v>0</v>
      </c>
      <c r="D8" s="170"/>
      <c r="E8" s="170"/>
      <c r="G8" s="182"/>
      <c r="H8" s="182"/>
      <c r="I8" s="182"/>
      <c r="J8" s="164"/>
    </row>
    <row r="9" spans="2:10" x14ac:dyDescent="0.35">
      <c r="B9" s="171" t="s">
        <v>29</v>
      </c>
      <c r="C9" s="111">
        <v>0</v>
      </c>
      <c r="D9" s="170"/>
      <c r="E9" s="170"/>
      <c r="G9" s="425" t="s">
        <v>154</v>
      </c>
      <c r="H9" s="425"/>
      <c r="I9" s="182"/>
      <c r="J9" s="164"/>
    </row>
    <row r="10" spans="2:10" x14ac:dyDescent="0.35">
      <c r="B10" s="170" t="s">
        <v>17</v>
      </c>
      <c r="C10" s="111">
        <v>1500</v>
      </c>
      <c r="D10" s="189" t="s">
        <v>164</v>
      </c>
      <c r="E10" s="189" t="s">
        <v>164</v>
      </c>
      <c r="G10" s="425"/>
      <c r="H10" s="425"/>
      <c r="I10" s="182"/>
    </row>
    <row r="11" spans="2:10" x14ac:dyDescent="0.35">
      <c r="B11" s="171" t="s">
        <v>32</v>
      </c>
      <c r="C11" s="111">
        <v>7741</v>
      </c>
      <c r="D11" s="189" t="s">
        <v>163</v>
      </c>
      <c r="E11" s="189" t="s">
        <v>163</v>
      </c>
      <c r="G11" s="425"/>
      <c r="H11" s="425"/>
    </row>
    <row r="12" spans="2:10" x14ac:dyDescent="0.35">
      <c r="B12" s="171" t="s">
        <v>33</v>
      </c>
      <c r="C12" s="111">
        <v>14000</v>
      </c>
      <c r="D12" s="189" t="s">
        <v>165</v>
      </c>
      <c r="E12" s="189" t="s">
        <v>165</v>
      </c>
      <c r="G12" s="425"/>
      <c r="H12" s="425"/>
    </row>
    <row r="13" spans="2:10" x14ac:dyDescent="0.35">
      <c r="B13" s="171" t="s">
        <v>105</v>
      </c>
      <c r="C13" s="188">
        <v>0</v>
      </c>
      <c r="D13" s="173"/>
      <c r="E13" s="170"/>
      <c r="G13" s="425"/>
      <c r="H13" s="425"/>
    </row>
    <row r="14" spans="2:10" x14ac:dyDescent="0.35">
      <c r="B14" s="171" t="s">
        <v>106</v>
      </c>
      <c r="C14" s="111">
        <v>5000</v>
      </c>
      <c r="D14" s="189" t="s">
        <v>158</v>
      </c>
      <c r="E14" s="189" t="s">
        <v>158</v>
      </c>
      <c r="G14" s="425"/>
      <c r="H14" s="425"/>
    </row>
    <row r="15" spans="2:10" x14ac:dyDescent="0.35">
      <c r="B15" s="171" t="s">
        <v>126</v>
      </c>
      <c r="C15" s="188">
        <v>0</v>
      </c>
      <c r="D15" s="170"/>
      <c r="E15" s="170"/>
    </row>
    <row r="16" spans="2:10" x14ac:dyDescent="0.35">
      <c r="B16" s="171" t="s">
        <v>125</v>
      </c>
      <c r="C16" s="188">
        <v>0</v>
      </c>
      <c r="D16" s="170"/>
      <c r="E16" s="171"/>
    </row>
    <row r="17" spans="3:3" x14ac:dyDescent="0.35">
      <c r="C17" s="110">
        <f>SUM(C3:C16)</f>
        <v>182530.78</v>
      </c>
    </row>
  </sheetData>
  <mergeCells count="2">
    <mergeCell ref="G2:H7"/>
    <mergeCell ref="G9:H1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7"/>
  <sheetViews>
    <sheetView workbookViewId="0">
      <selection activeCell="J16" sqref="J16"/>
    </sheetView>
  </sheetViews>
  <sheetFormatPr defaultRowHeight="14.5" x14ac:dyDescent="0.35"/>
  <cols>
    <col min="1" max="1" width="8.7265625" style="19"/>
    <col min="2" max="2" width="22.81640625" style="19" bestFit="1" customWidth="1"/>
    <col min="3" max="3" width="9.81640625" style="110" bestFit="1" customWidth="1"/>
    <col min="4" max="5" width="15.7265625" style="19" bestFit="1" customWidth="1"/>
    <col min="6" max="16384" width="8.7265625" style="19"/>
  </cols>
  <sheetData>
    <row r="1" spans="2:7" ht="15" thickBot="1" x14ac:dyDescent="0.4"/>
    <row r="2" spans="2:7" ht="14.5" customHeight="1" x14ac:dyDescent="0.35">
      <c r="B2" s="199"/>
      <c r="C2" s="200" t="s">
        <v>49</v>
      </c>
      <c r="D2" s="201" t="s">
        <v>48</v>
      </c>
      <c r="E2" s="202" t="s">
        <v>44</v>
      </c>
      <c r="F2" s="169"/>
      <c r="G2" s="195"/>
    </row>
    <row r="3" spans="2:7" x14ac:dyDescent="0.35">
      <c r="B3" s="203" t="s">
        <v>23</v>
      </c>
      <c r="C3" s="124">
        <v>1121</v>
      </c>
      <c r="D3" s="194" t="s">
        <v>168</v>
      </c>
      <c r="E3" s="204"/>
      <c r="F3" s="168"/>
      <c r="G3" s="195"/>
    </row>
    <row r="4" spans="2:7" x14ac:dyDescent="0.35">
      <c r="B4" s="208" t="s">
        <v>24</v>
      </c>
      <c r="C4" s="124">
        <v>60600</v>
      </c>
      <c r="D4" s="194" t="s">
        <v>167</v>
      </c>
      <c r="E4" s="204"/>
      <c r="F4" s="168"/>
      <c r="G4" s="195"/>
    </row>
    <row r="5" spans="2:7" x14ac:dyDescent="0.35">
      <c r="B5" s="203" t="s">
        <v>25</v>
      </c>
      <c r="C5" s="159">
        <v>7379.13</v>
      </c>
      <c r="D5" s="194" t="s">
        <v>166</v>
      </c>
      <c r="E5" s="206"/>
      <c r="F5" s="168"/>
      <c r="G5" s="195"/>
    </row>
    <row r="6" spans="2:7" x14ac:dyDescent="0.35">
      <c r="B6" s="215" t="s">
        <v>26</v>
      </c>
      <c r="C6" s="214">
        <v>71</v>
      </c>
      <c r="D6" s="194" t="s">
        <v>166</v>
      </c>
      <c r="E6" s="207"/>
      <c r="F6" s="168"/>
      <c r="G6" s="164"/>
    </row>
    <row r="7" spans="2:7" x14ac:dyDescent="0.35">
      <c r="B7" s="213" t="s">
        <v>27</v>
      </c>
      <c r="C7" s="214">
        <v>1285.17</v>
      </c>
      <c r="D7" s="194" t="s">
        <v>172</v>
      </c>
      <c r="E7" s="206"/>
      <c r="F7" s="169"/>
      <c r="G7" s="164"/>
    </row>
    <row r="8" spans="2:7" x14ac:dyDescent="0.35">
      <c r="B8" s="205" t="s">
        <v>28</v>
      </c>
      <c r="C8" s="111">
        <v>0</v>
      </c>
      <c r="D8" s="196"/>
      <c r="E8" s="204"/>
      <c r="F8" s="182"/>
      <c r="G8" s="164"/>
    </row>
    <row r="9" spans="2:7" x14ac:dyDescent="0.35">
      <c r="B9" s="203" t="s">
        <v>29</v>
      </c>
      <c r="C9" s="124">
        <v>60600</v>
      </c>
      <c r="D9" s="194" t="s">
        <v>169</v>
      </c>
      <c r="E9" s="204"/>
      <c r="F9" s="182"/>
      <c r="G9" s="164"/>
    </row>
    <row r="10" spans="2:7" x14ac:dyDescent="0.35">
      <c r="B10" s="208" t="s">
        <v>17</v>
      </c>
      <c r="C10" s="124">
        <v>1500</v>
      </c>
      <c r="D10" s="194" t="s">
        <v>170</v>
      </c>
      <c r="E10" s="206"/>
      <c r="F10" s="182"/>
    </row>
    <row r="11" spans="2:7" x14ac:dyDescent="0.35">
      <c r="B11" s="203" t="s">
        <v>32</v>
      </c>
      <c r="C11" s="124">
        <v>7741</v>
      </c>
      <c r="D11" s="194" t="s">
        <v>168</v>
      </c>
      <c r="E11" s="206"/>
    </row>
    <row r="12" spans="2:7" x14ac:dyDescent="0.35">
      <c r="B12" s="203" t="s">
        <v>33</v>
      </c>
      <c r="C12" s="124">
        <v>14000</v>
      </c>
      <c r="D12" s="194" t="s">
        <v>171</v>
      </c>
      <c r="E12" s="206"/>
    </row>
    <row r="13" spans="2:7" x14ac:dyDescent="0.35">
      <c r="B13" s="205" t="s">
        <v>105</v>
      </c>
      <c r="C13" s="198">
        <v>0</v>
      </c>
      <c r="D13" s="197"/>
      <c r="E13" s="204"/>
    </row>
    <row r="14" spans="2:7" x14ac:dyDescent="0.35">
      <c r="B14" s="203" t="s">
        <v>106</v>
      </c>
      <c r="C14" s="124">
        <v>5000</v>
      </c>
      <c r="D14" s="194" t="s">
        <v>166</v>
      </c>
      <c r="E14" s="206"/>
    </row>
    <row r="15" spans="2:7" x14ac:dyDescent="0.35">
      <c r="B15" s="205" t="s">
        <v>126</v>
      </c>
      <c r="C15" s="198">
        <v>0</v>
      </c>
      <c r="D15" s="196"/>
      <c r="E15" s="204"/>
    </row>
    <row r="16" spans="2:7" ht="15" thickBot="1" x14ac:dyDescent="0.4">
      <c r="B16" s="209" t="s">
        <v>125</v>
      </c>
      <c r="C16" s="210">
        <v>0</v>
      </c>
      <c r="D16" s="211"/>
      <c r="E16" s="212"/>
    </row>
    <row r="17" spans="3:3" x14ac:dyDescent="0.35">
      <c r="C17" s="110">
        <f>SUM(C3:C16)</f>
        <v>159297.29999999999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8"/>
  <sheetViews>
    <sheetView workbookViewId="0">
      <selection activeCell="D13" sqref="D13"/>
    </sheetView>
  </sheetViews>
  <sheetFormatPr defaultRowHeight="14.5" x14ac:dyDescent="0.35"/>
  <cols>
    <col min="1" max="1" width="8.7265625" style="19"/>
    <col min="2" max="2" width="22.81640625" style="19" bestFit="1" customWidth="1"/>
    <col min="3" max="3" width="9.81640625" style="110" bestFit="1" customWidth="1"/>
    <col min="4" max="5" width="15.7265625" style="19" bestFit="1" customWidth="1"/>
    <col min="6" max="8" width="8.7265625" style="19"/>
    <col min="9" max="9" width="38.26953125" style="19" bestFit="1" customWidth="1"/>
    <col min="10" max="16384" width="8.7265625" style="19"/>
  </cols>
  <sheetData>
    <row r="1" spans="2:9" ht="15" thickBot="1" x14ac:dyDescent="0.4"/>
    <row r="2" spans="2:9" ht="14.5" customHeight="1" x14ac:dyDescent="0.35">
      <c r="B2" s="199"/>
      <c r="C2" s="200" t="s">
        <v>49</v>
      </c>
      <c r="D2" s="201" t="s">
        <v>48</v>
      </c>
      <c r="E2" s="202" t="s">
        <v>44</v>
      </c>
      <c r="F2" s="169"/>
      <c r="G2" s="220"/>
    </row>
    <row r="3" spans="2:9" x14ac:dyDescent="0.35">
      <c r="B3" s="205" t="s">
        <v>23</v>
      </c>
      <c r="C3" s="99">
        <v>0</v>
      </c>
      <c r="D3" s="189"/>
      <c r="E3" s="204"/>
      <c r="F3" s="168"/>
      <c r="G3" s="220"/>
    </row>
    <row r="4" spans="2:9" x14ac:dyDescent="0.35">
      <c r="B4" s="221" t="s">
        <v>24</v>
      </c>
      <c r="C4" s="218">
        <v>0</v>
      </c>
      <c r="D4" s="189"/>
      <c r="E4" s="204"/>
      <c r="F4" s="168"/>
      <c r="G4" s="220"/>
    </row>
    <row r="5" spans="2:9" x14ac:dyDescent="0.35">
      <c r="B5" s="203" t="s">
        <v>25</v>
      </c>
      <c r="C5" s="159">
        <v>9534.18</v>
      </c>
      <c r="D5" s="194" t="s">
        <v>176</v>
      </c>
      <c r="E5" s="227" t="s">
        <v>188</v>
      </c>
      <c r="F5" s="168"/>
      <c r="G5" s="220"/>
      <c r="I5" s="216" t="s">
        <v>173</v>
      </c>
    </row>
    <row r="6" spans="2:9" x14ac:dyDescent="0.35">
      <c r="B6" s="222" t="s">
        <v>26</v>
      </c>
      <c r="C6" s="191">
        <v>0</v>
      </c>
      <c r="D6" s="189" t="s">
        <v>176</v>
      </c>
      <c r="E6" s="207"/>
      <c r="F6" s="168"/>
      <c r="G6" s="164"/>
      <c r="I6" s="216" t="s">
        <v>174</v>
      </c>
    </row>
    <row r="7" spans="2:9" x14ac:dyDescent="0.35">
      <c r="B7" s="213" t="s">
        <v>27</v>
      </c>
      <c r="C7" s="214">
        <v>1282.76</v>
      </c>
      <c r="D7" s="194" t="s">
        <v>177</v>
      </c>
      <c r="E7" s="227" t="s">
        <v>188</v>
      </c>
      <c r="F7" s="169"/>
      <c r="G7" s="164"/>
      <c r="I7" s="216" t="s">
        <v>175</v>
      </c>
    </row>
    <row r="8" spans="2:9" x14ac:dyDescent="0.35">
      <c r="B8" s="205" t="s">
        <v>28</v>
      </c>
      <c r="C8" s="218">
        <v>0</v>
      </c>
      <c r="D8" s="217"/>
      <c r="E8" s="204"/>
      <c r="F8" s="182"/>
      <c r="G8" s="164"/>
    </row>
    <row r="9" spans="2:9" x14ac:dyDescent="0.35">
      <c r="B9" s="203" t="s">
        <v>29</v>
      </c>
      <c r="C9" s="124">
        <v>270</v>
      </c>
      <c r="D9" s="194" t="s">
        <v>186</v>
      </c>
      <c r="E9" s="227" t="s">
        <v>188</v>
      </c>
      <c r="F9" s="182"/>
      <c r="G9" s="164"/>
    </row>
    <row r="10" spans="2:9" x14ac:dyDescent="0.35">
      <c r="B10" s="208" t="s">
        <v>17</v>
      </c>
      <c r="C10" s="124">
        <v>1500</v>
      </c>
      <c r="D10" s="194" t="s">
        <v>180</v>
      </c>
      <c r="E10" s="194" t="s">
        <v>187</v>
      </c>
      <c r="F10" s="182"/>
      <c r="I10" s="216" t="s">
        <v>183</v>
      </c>
    </row>
    <row r="11" spans="2:9" x14ac:dyDescent="0.35">
      <c r="B11" s="203" t="s">
        <v>32</v>
      </c>
      <c r="C11" s="124">
        <v>7741</v>
      </c>
      <c r="D11" s="194" t="s">
        <v>179</v>
      </c>
      <c r="E11" s="194" t="s">
        <v>187</v>
      </c>
      <c r="I11" s="216" t="s">
        <v>184</v>
      </c>
    </row>
    <row r="12" spans="2:9" x14ac:dyDescent="0.35">
      <c r="B12" s="203" t="s">
        <v>33</v>
      </c>
      <c r="C12" s="124">
        <v>14000</v>
      </c>
      <c r="D12" s="194" t="s">
        <v>178</v>
      </c>
      <c r="E12" s="194" t="s">
        <v>187</v>
      </c>
      <c r="I12" s="216" t="s">
        <v>185</v>
      </c>
    </row>
    <row r="13" spans="2:9" x14ac:dyDescent="0.35">
      <c r="B13" s="205" t="s">
        <v>105</v>
      </c>
      <c r="C13" s="218">
        <v>5000</v>
      </c>
      <c r="D13" s="219" t="s">
        <v>181</v>
      </c>
      <c r="E13" s="204"/>
    </row>
    <row r="14" spans="2:9" x14ac:dyDescent="0.35">
      <c r="B14" s="205" t="s">
        <v>106</v>
      </c>
      <c r="C14" s="111">
        <v>0</v>
      </c>
      <c r="D14" s="189"/>
      <c r="E14" s="206"/>
    </row>
    <row r="15" spans="2:9" x14ac:dyDescent="0.35">
      <c r="B15" s="205" t="s">
        <v>126</v>
      </c>
      <c r="C15" s="218">
        <v>0</v>
      </c>
      <c r="D15" s="217"/>
      <c r="E15" s="204"/>
    </row>
    <row r="16" spans="2:9" x14ac:dyDescent="0.35">
      <c r="B16" s="223" t="s">
        <v>125</v>
      </c>
      <c r="C16" s="226">
        <v>0</v>
      </c>
      <c r="D16" s="224"/>
      <c r="E16" s="225"/>
    </row>
    <row r="17" spans="2:5" x14ac:dyDescent="0.35">
      <c r="B17" s="218" t="s">
        <v>182</v>
      </c>
      <c r="C17" s="218">
        <v>0</v>
      </c>
      <c r="D17" s="217"/>
      <c r="E17" s="218"/>
    </row>
    <row r="18" spans="2:5" x14ac:dyDescent="0.35">
      <c r="C18" s="110">
        <f>SUM(C3:C17)</f>
        <v>39327.94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8"/>
  <sheetViews>
    <sheetView workbookViewId="0">
      <selection activeCell="I14" sqref="I14"/>
    </sheetView>
  </sheetViews>
  <sheetFormatPr defaultRowHeight="14.5" x14ac:dyDescent="0.35"/>
  <cols>
    <col min="1" max="1" width="8.7265625" style="19"/>
    <col min="2" max="2" width="22.81640625" style="19" bestFit="1" customWidth="1"/>
    <col min="3" max="3" width="9.81640625" style="110" bestFit="1" customWidth="1"/>
    <col min="4" max="5" width="15.7265625" style="19" bestFit="1" customWidth="1"/>
    <col min="6" max="8" width="8.7265625" style="19"/>
    <col min="9" max="9" width="38.26953125" style="19" bestFit="1" customWidth="1"/>
    <col min="10" max="16384" width="8.7265625" style="19"/>
  </cols>
  <sheetData>
    <row r="1" spans="2:9" ht="15" thickBot="1" x14ac:dyDescent="0.4"/>
    <row r="2" spans="2:9" ht="14.5" customHeight="1" x14ac:dyDescent="0.35">
      <c r="B2" s="199"/>
      <c r="C2" s="200" t="s">
        <v>49</v>
      </c>
      <c r="D2" s="201" t="s">
        <v>48</v>
      </c>
      <c r="E2" s="202" t="s">
        <v>44</v>
      </c>
      <c r="F2" s="169"/>
      <c r="G2" s="232"/>
    </row>
    <row r="3" spans="2:9" x14ac:dyDescent="0.35">
      <c r="B3" s="203" t="s">
        <v>23</v>
      </c>
      <c r="C3" s="85">
        <v>6857.2</v>
      </c>
      <c r="D3" s="194" t="s">
        <v>189</v>
      </c>
      <c r="E3" s="227" t="s">
        <v>190</v>
      </c>
      <c r="F3" s="168"/>
      <c r="G3" s="232"/>
    </row>
    <row r="4" spans="2:9" x14ac:dyDescent="0.35">
      <c r="B4" s="221" t="s">
        <v>24</v>
      </c>
      <c r="C4" s="230">
        <v>60600</v>
      </c>
      <c r="D4" s="189" t="s">
        <v>191</v>
      </c>
      <c r="E4" s="204"/>
      <c r="F4" s="168"/>
      <c r="G4" s="232"/>
    </row>
    <row r="5" spans="2:9" x14ac:dyDescent="0.35">
      <c r="B5" s="203" t="s">
        <v>25</v>
      </c>
      <c r="C5" s="159">
        <v>16176.65</v>
      </c>
      <c r="D5" s="194">
        <v>44697</v>
      </c>
      <c r="E5" s="227" t="s">
        <v>192</v>
      </c>
      <c r="F5" s="168"/>
      <c r="G5" s="232"/>
      <c r="I5" s="228" t="s">
        <v>173</v>
      </c>
    </row>
    <row r="6" spans="2:9" x14ac:dyDescent="0.35">
      <c r="B6" s="234" t="s">
        <v>26</v>
      </c>
      <c r="C6" s="235">
        <v>0</v>
      </c>
      <c r="D6" s="233"/>
      <c r="E6" s="236"/>
      <c r="F6" s="168"/>
      <c r="G6" s="164"/>
      <c r="I6" s="228" t="s">
        <v>174</v>
      </c>
    </row>
    <row r="7" spans="2:9" x14ac:dyDescent="0.35">
      <c r="B7" s="213" t="s">
        <v>27</v>
      </c>
      <c r="C7" s="214">
        <v>1279.99</v>
      </c>
      <c r="D7" s="194">
        <v>44691</v>
      </c>
      <c r="E7" s="227"/>
      <c r="F7" s="169"/>
      <c r="G7" s="164"/>
      <c r="I7" s="228" t="s">
        <v>175</v>
      </c>
    </row>
    <row r="8" spans="2:9" x14ac:dyDescent="0.35">
      <c r="B8" s="203" t="s">
        <v>28</v>
      </c>
      <c r="C8" s="237">
        <v>589</v>
      </c>
      <c r="D8" s="238">
        <v>44705</v>
      </c>
      <c r="E8" s="227">
        <v>44690</v>
      </c>
      <c r="F8" s="182"/>
      <c r="G8" s="164"/>
    </row>
    <row r="9" spans="2:9" x14ac:dyDescent="0.35">
      <c r="B9" s="205" t="s">
        <v>29</v>
      </c>
      <c r="C9" s="111"/>
      <c r="D9" s="189"/>
      <c r="E9" s="204"/>
      <c r="F9" s="182"/>
      <c r="G9" s="164"/>
    </row>
    <row r="10" spans="2:9" x14ac:dyDescent="0.35">
      <c r="B10" s="208" t="s">
        <v>17</v>
      </c>
      <c r="C10" s="124">
        <v>1500</v>
      </c>
      <c r="D10" s="194">
        <v>44682</v>
      </c>
      <c r="E10" s="194" t="s">
        <v>190</v>
      </c>
      <c r="F10" s="182"/>
      <c r="I10" s="228" t="s">
        <v>183</v>
      </c>
    </row>
    <row r="11" spans="2:9" x14ac:dyDescent="0.35">
      <c r="B11" s="205" t="s">
        <v>32</v>
      </c>
      <c r="C11" s="111">
        <v>7741</v>
      </c>
      <c r="D11" s="189"/>
      <c r="E11" s="189"/>
      <c r="I11" s="228" t="s">
        <v>184</v>
      </c>
    </row>
    <row r="12" spans="2:9" x14ac:dyDescent="0.35">
      <c r="B12" s="205" t="s">
        <v>33</v>
      </c>
      <c r="C12" s="111">
        <v>14000</v>
      </c>
      <c r="D12" s="189">
        <v>44684</v>
      </c>
      <c r="E12" s="189"/>
      <c r="I12" s="228" t="s">
        <v>185</v>
      </c>
    </row>
    <row r="13" spans="2:9" x14ac:dyDescent="0.35">
      <c r="B13" s="205" t="s">
        <v>105</v>
      </c>
      <c r="C13" s="230">
        <v>0</v>
      </c>
      <c r="D13" s="231"/>
      <c r="E13" s="204"/>
    </row>
    <row r="14" spans="2:9" ht="43.5" x14ac:dyDescent="0.35">
      <c r="B14" s="205" t="s">
        <v>106</v>
      </c>
      <c r="C14" s="111">
        <v>5000</v>
      </c>
      <c r="D14" s="189">
        <v>44691</v>
      </c>
      <c r="E14" s="206"/>
      <c r="I14" s="246" t="s">
        <v>193</v>
      </c>
    </row>
    <row r="15" spans="2:9" x14ac:dyDescent="0.35">
      <c r="B15" s="205" t="s">
        <v>126</v>
      </c>
      <c r="C15" s="230">
        <v>0</v>
      </c>
      <c r="D15" s="229"/>
      <c r="E15" s="204"/>
    </row>
    <row r="16" spans="2:9" x14ac:dyDescent="0.35">
      <c r="B16" s="223" t="s">
        <v>125</v>
      </c>
      <c r="C16" s="226">
        <v>0</v>
      </c>
      <c r="D16" s="224"/>
      <c r="E16" s="225"/>
    </row>
    <row r="17" spans="2:5" x14ac:dyDescent="0.35">
      <c r="B17" s="230" t="s">
        <v>182</v>
      </c>
      <c r="C17" s="230">
        <v>10000</v>
      </c>
      <c r="D17" s="229"/>
      <c r="E17" s="230"/>
    </row>
    <row r="18" spans="2:5" x14ac:dyDescent="0.35">
      <c r="C18" s="110">
        <f>SUM(C3:C17)</f>
        <v>123743.84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8"/>
  <sheetViews>
    <sheetView workbookViewId="0">
      <selection sqref="A1:XFD1048576"/>
    </sheetView>
  </sheetViews>
  <sheetFormatPr defaultColWidth="12.7265625" defaultRowHeight="14.5" x14ac:dyDescent="0.35"/>
  <cols>
    <col min="1" max="1" width="12.7265625" style="19"/>
    <col min="2" max="2" width="22.81640625" style="19" bestFit="1" customWidth="1"/>
    <col min="3" max="3" width="9.81640625" style="110" bestFit="1" customWidth="1"/>
    <col min="4" max="4" width="12.36328125" style="19" bestFit="1" customWidth="1"/>
    <col min="5" max="5" width="12.90625" style="19" bestFit="1" customWidth="1"/>
    <col min="6" max="16384" width="12.7265625" style="19"/>
  </cols>
  <sheetData>
    <row r="1" spans="2:7" ht="15" thickBot="1" x14ac:dyDescent="0.4"/>
    <row r="2" spans="2:7" x14ac:dyDescent="0.35">
      <c r="B2" s="199"/>
      <c r="C2" s="262" t="s">
        <v>49</v>
      </c>
      <c r="D2" s="262" t="s">
        <v>48</v>
      </c>
      <c r="E2" s="263" t="s">
        <v>44</v>
      </c>
      <c r="F2" s="169"/>
      <c r="G2" s="245"/>
    </row>
    <row r="3" spans="2:7" x14ac:dyDescent="0.35">
      <c r="B3" s="244" t="s">
        <v>23</v>
      </c>
      <c r="C3" s="250">
        <v>0</v>
      </c>
      <c r="D3" s="251"/>
      <c r="E3" s="252"/>
      <c r="F3" s="168"/>
      <c r="G3" s="245"/>
    </row>
    <row r="4" spans="2:7" x14ac:dyDescent="0.35">
      <c r="B4" s="243" t="s">
        <v>24</v>
      </c>
      <c r="C4" s="250">
        <v>0</v>
      </c>
      <c r="D4" s="251"/>
      <c r="E4" s="252"/>
      <c r="F4" s="168"/>
      <c r="G4" s="245"/>
    </row>
    <row r="5" spans="2:7" x14ac:dyDescent="0.35">
      <c r="B5" s="256" t="s">
        <v>25</v>
      </c>
      <c r="C5" s="264">
        <v>12149.14</v>
      </c>
      <c r="D5" s="255">
        <v>44727</v>
      </c>
      <c r="E5" s="260">
        <v>44725</v>
      </c>
      <c r="F5" s="168"/>
      <c r="G5" s="245"/>
    </row>
    <row r="6" spans="2:7" x14ac:dyDescent="0.35">
      <c r="B6" s="257" t="s">
        <v>26</v>
      </c>
      <c r="C6" s="265">
        <v>60600</v>
      </c>
      <c r="D6" s="255">
        <v>44726</v>
      </c>
      <c r="E6" s="266">
        <v>44725</v>
      </c>
      <c r="F6" s="168"/>
      <c r="G6" s="164"/>
    </row>
    <row r="7" spans="2:7" x14ac:dyDescent="0.35">
      <c r="B7" s="258" t="s">
        <v>27</v>
      </c>
      <c r="C7" s="259">
        <v>1836.79</v>
      </c>
      <c r="D7" s="255">
        <v>44722</v>
      </c>
      <c r="E7" s="260"/>
      <c r="F7" s="169"/>
      <c r="G7" s="164"/>
    </row>
    <row r="8" spans="2:7" x14ac:dyDescent="0.35">
      <c r="B8" s="244" t="s">
        <v>28</v>
      </c>
      <c r="C8" s="250">
        <v>0</v>
      </c>
      <c r="D8" s="252"/>
      <c r="E8" s="252"/>
      <c r="F8" s="182"/>
      <c r="G8" s="164"/>
    </row>
    <row r="9" spans="2:7" x14ac:dyDescent="0.35">
      <c r="B9" s="240" t="s">
        <v>29</v>
      </c>
      <c r="C9" s="109"/>
      <c r="D9" s="248"/>
      <c r="E9" s="249"/>
      <c r="F9" s="182"/>
      <c r="G9" s="164"/>
    </row>
    <row r="10" spans="2:7" x14ac:dyDescent="0.35">
      <c r="B10" s="242" t="s">
        <v>17</v>
      </c>
      <c r="C10" s="82">
        <v>1500</v>
      </c>
      <c r="D10" s="255">
        <v>44715</v>
      </c>
      <c r="E10" s="255">
        <v>44715</v>
      </c>
      <c r="F10" s="182"/>
    </row>
    <row r="11" spans="2:7" x14ac:dyDescent="0.35">
      <c r="B11" s="247" t="s">
        <v>32</v>
      </c>
      <c r="C11" s="82">
        <v>7741</v>
      </c>
      <c r="D11" s="255">
        <v>44717</v>
      </c>
      <c r="E11" s="255">
        <v>44717</v>
      </c>
    </row>
    <row r="12" spans="2:7" x14ac:dyDescent="0.35">
      <c r="B12" s="241" t="s">
        <v>33</v>
      </c>
      <c r="C12" s="82">
        <v>14000</v>
      </c>
      <c r="D12" s="255">
        <v>44715</v>
      </c>
      <c r="E12" s="255">
        <v>44715</v>
      </c>
    </row>
    <row r="13" spans="2:7" x14ac:dyDescent="0.35">
      <c r="B13" s="244" t="s">
        <v>105</v>
      </c>
      <c r="C13" s="253">
        <v>0</v>
      </c>
      <c r="D13" s="254"/>
      <c r="E13" s="252"/>
    </row>
    <row r="14" spans="2:7" x14ac:dyDescent="0.35">
      <c r="B14" s="247" t="s">
        <v>106</v>
      </c>
      <c r="C14" s="82">
        <v>5000</v>
      </c>
      <c r="D14" s="255">
        <v>44722</v>
      </c>
      <c r="E14" s="255">
        <v>44720</v>
      </c>
    </row>
    <row r="15" spans="2:7" x14ac:dyDescent="0.35">
      <c r="B15" s="244" t="s">
        <v>126</v>
      </c>
      <c r="C15" s="253">
        <v>0</v>
      </c>
      <c r="D15" s="252"/>
      <c r="E15" s="252"/>
    </row>
    <row r="16" spans="2:7" x14ac:dyDescent="0.35">
      <c r="B16" s="244" t="s">
        <v>125</v>
      </c>
      <c r="C16" s="253">
        <v>0</v>
      </c>
      <c r="D16" s="252"/>
      <c r="E16" s="253"/>
    </row>
    <row r="17" spans="2:5" x14ac:dyDescent="0.35">
      <c r="B17" s="247" t="s">
        <v>182</v>
      </c>
      <c r="C17" s="261">
        <v>10000</v>
      </c>
      <c r="D17" s="260">
        <v>44717</v>
      </c>
      <c r="E17" s="261"/>
    </row>
    <row r="18" spans="2:5" x14ac:dyDescent="0.35">
      <c r="B18" s="239"/>
      <c r="C18" s="109">
        <f>SUM(C3:C17)</f>
        <v>112826.93</v>
      </c>
      <c r="D18" s="239"/>
      <c r="E18" s="239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8"/>
  <sheetViews>
    <sheetView workbookViewId="0">
      <selection sqref="A1:XFD1048576"/>
    </sheetView>
  </sheetViews>
  <sheetFormatPr defaultColWidth="12.7265625" defaultRowHeight="14.5" x14ac:dyDescent="0.35"/>
  <cols>
    <col min="1" max="1" width="12.7265625" style="19"/>
    <col min="2" max="2" width="22.81640625" style="19" bestFit="1" customWidth="1"/>
    <col min="3" max="3" width="9.81640625" style="110" bestFit="1" customWidth="1"/>
    <col min="4" max="4" width="12.36328125" style="19" bestFit="1" customWidth="1"/>
    <col min="5" max="5" width="12.90625" style="19" bestFit="1" customWidth="1"/>
    <col min="6" max="16384" width="12.7265625" style="19"/>
  </cols>
  <sheetData>
    <row r="1" spans="2:7" ht="15" thickBot="1" x14ac:dyDescent="0.4"/>
    <row r="2" spans="2:7" x14ac:dyDescent="0.35">
      <c r="B2" s="199"/>
      <c r="C2" s="262" t="s">
        <v>49</v>
      </c>
      <c r="D2" s="262" t="s">
        <v>48</v>
      </c>
      <c r="E2" s="263" t="s">
        <v>44</v>
      </c>
      <c r="F2" s="169"/>
      <c r="G2" s="273"/>
    </row>
    <row r="3" spans="2:7" s="74" customFormat="1" x14ac:dyDescent="0.35">
      <c r="B3" s="269" t="s">
        <v>23</v>
      </c>
      <c r="C3" s="274">
        <v>0</v>
      </c>
      <c r="D3" s="248"/>
      <c r="E3" s="249"/>
      <c r="F3" s="275"/>
      <c r="G3" s="276"/>
    </row>
    <row r="4" spans="2:7" s="74" customFormat="1" x14ac:dyDescent="0.35">
      <c r="B4" s="268" t="s">
        <v>24</v>
      </c>
      <c r="C4" s="274">
        <v>0</v>
      </c>
      <c r="D4" s="248"/>
      <c r="E4" s="249"/>
      <c r="F4" s="275"/>
      <c r="G4" s="276"/>
    </row>
    <row r="5" spans="2:7" s="74" customFormat="1" x14ac:dyDescent="0.35">
      <c r="B5" s="269" t="s">
        <v>25</v>
      </c>
      <c r="C5" s="81">
        <v>19586.939999999999</v>
      </c>
      <c r="D5" s="248">
        <v>44758</v>
      </c>
      <c r="E5" s="248">
        <v>44758</v>
      </c>
      <c r="F5" s="275"/>
      <c r="G5" s="276"/>
    </row>
    <row r="6" spans="2:7" s="74" customFormat="1" x14ac:dyDescent="0.35">
      <c r="B6" s="282" t="s">
        <v>26</v>
      </c>
      <c r="C6" s="283">
        <v>0</v>
      </c>
      <c r="D6" s="251"/>
      <c r="E6" s="284"/>
      <c r="F6" s="275"/>
      <c r="G6" s="277"/>
    </row>
    <row r="7" spans="2:7" s="74" customFormat="1" x14ac:dyDescent="0.35">
      <c r="B7" s="190" t="s">
        <v>27</v>
      </c>
      <c r="C7" s="281">
        <v>4118.68</v>
      </c>
      <c r="D7" s="248">
        <v>44753</v>
      </c>
      <c r="E7" s="248">
        <v>44753</v>
      </c>
      <c r="F7" s="278"/>
      <c r="G7" s="277"/>
    </row>
    <row r="8" spans="2:7" s="74" customFormat="1" x14ac:dyDescent="0.35">
      <c r="B8" s="269" t="s">
        <v>28</v>
      </c>
      <c r="C8" s="274">
        <v>60600</v>
      </c>
      <c r="D8" s="249">
        <v>44766</v>
      </c>
      <c r="E8" s="249">
        <v>44766</v>
      </c>
      <c r="F8" s="279"/>
      <c r="G8" s="277"/>
    </row>
    <row r="9" spans="2:7" s="74" customFormat="1" x14ac:dyDescent="0.35">
      <c r="B9" s="269" t="s">
        <v>29</v>
      </c>
      <c r="C9" s="109"/>
      <c r="D9" s="248"/>
      <c r="E9" s="249"/>
      <c r="F9" s="279"/>
      <c r="G9" s="277"/>
    </row>
    <row r="10" spans="2:7" s="74" customFormat="1" x14ac:dyDescent="0.35">
      <c r="B10" s="272" t="s">
        <v>17</v>
      </c>
      <c r="C10" s="82">
        <v>1500</v>
      </c>
      <c r="D10" s="255">
        <v>44745</v>
      </c>
      <c r="E10" s="255">
        <v>44745</v>
      </c>
      <c r="F10" s="279"/>
    </row>
    <row r="11" spans="2:7" s="74" customFormat="1" x14ac:dyDescent="0.35">
      <c r="B11" s="271" t="s">
        <v>32</v>
      </c>
      <c r="C11" s="82">
        <v>7741</v>
      </c>
      <c r="D11" s="255">
        <v>44747</v>
      </c>
      <c r="E11" s="255">
        <v>44747</v>
      </c>
    </row>
    <row r="12" spans="2:7" s="74" customFormat="1" x14ac:dyDescent="0.35">
      <c r="B12" s="271" t="s">
        <v>33</v>
      </c>
      <c r="C12" s="82">
        <v>14000</v>
      </c>
      <c r="D12" s="255">
        <v>44747</v>
      </c>
      <c r="E12" s="255">
        <v>44747</v>
      </c>
    </row>
    <row r="13" spans="2:7" s="74" customFormat="1" x14ac:dyDescent="0.35">
      <c r="B13" s="269" t="s">
        <v>105</v>
      </c>
      <c r="C13" s="270">
        <v>0</v>
      </c>
      <c r="D13" s="280"/>
      <c r="E13" s="249"/>
    </row>
    <row r="14" spans="2:7" s="74" customFormat="1" x14ac:dyDescent="0.35">
      <c r="B14" s="271" t="s">
        <v>106</v>
      </c>
      <c r="C14" s="82">
        <v>5000</v>
      </c>
      <c r="D14" s="255">
        <v>44749</v>
      </c>
      <c r="E14" s="255">
        <v>44749</v>
      </c>
    </row>
    <row r="15" spans="2:7" s="74" customFormat="1" x14ac:dyDescent="0.35">
      <c r="B15" s="269" t="s">
        <v>126</v>
      </c>
      <c r="C15" s="270">
        <v>12100</v>
      </c>
      <c r="D15" s="249"/>
      <c r="E15" s="249"/>
    </row>
    <row r="16" spans="2:7" s="74" customFormat="1" x14ac:dyDescent="0.35">
      <c r="B16" s="269" t="s">
        <v>125</v>
      </c>
      <c r="C16" s="270">
        <v>11900</v>
      </c>
      <c r="D16" s="249"/>
      <c r="E16" s="270"/>
    </row>
    <row r="17" spans="2:5" x14ac:dyDescent="0.35">
      <c r="B17" s="271" t="s">
        <v>182</v>
      </c>
      <c r="C17" s="261">
        <v>10000</v>
      </c>
      <c r="D17" s="260">
        <v>44717</v>
      </c>
      <c r="E17" s="261"/>
    </row>
    <row r="18" spans="2:5" x14ac:dyDescent="0.35">
      <c r="B18" s="267"/>
      <c r="C18" s="109">
        <f>SUM(C3:C17)</f>
        <v>146546.62</v>
      </c>
      <c r="D18" s="267"/>
      <c r="E18" s="267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8"/>
  <sheetViews>
    <sheetView workbookViewId="0">
      <selection activeCell="B2" sqref="B2"/>
    </sheetView>
  </sheetViews>
  <sheetFormatPr defaultColWidth="12.7265625" defaultRowHeight="14.5" x14ac:dyDescent="0.35"/>
  <cols>
    <col min="1" max="1" width="12.7265625" style="19"/>
    <col min="2" max="2" width="22.81640625" style="19" bestFit="1" customWidth="1"/>
    <col min="3" max="3" width="9.81640625" style="110" bestFit="1" customWidth="1"/>
    <col min="4" max="4" width="12.36328125" style="19" bestFit="1" customWidth="1"/>
    <col min="5" max="5" width="12.90625" style="19" bestFit="1" customWidth="1"/>
    <col min="6" max="16384" width="12.7265625" style="19"/>
  </cols>
  <sheetData>
    <row r="1" spans="2:7" ht="15" thickBot="1" x14ac:dyDescent="0.4"/>
    <row r="2" spans="2:7" x14ac:dyDescent="0.35">
      <c r="B2" s="199"/>
      <c r="C2" s="262" t="s">
        <v>49</v>
      </c>
      <c r="D2" s="262" t="s">
        <v>48</v>
      </c>
      <c r="E2" s="263" t="s">
        <v>44</v>
      </c>
      <c r="F2" s="169"/>
      <c r="G2" s="291"/>
    </row>
    <row r="3" spans="2:7" s="74" customFormat="1" x14ac:dyDescent="0.35">
      <c r="B3" s="287" t="s">
        <v>23</v>
      </c>
      <c r="C3" s="274">
        <v>0</v>
      </c>
      <c r="D3" s="248"/>
      <c r="E3" s="249"/>
      <c r="F3" s="275"/>
      <c r="G3" s="276"/>
    </row>
    <row r="4" spans="2:7" s="74" customFormat="1" x14ac:dyDescent="0.35">
      <c r="B4" s="286" t="s">
        <v>24</v>
      </c>
      <c r="C4" s="274">
        <v>0</v>
      </c>
      <c r="D4" s="248"/>
      <c r="E4" s="249"/>
      <c r="F4" s="275"/>
      <c r="G4" s="276"/>
    </row>
    <row r="5" spans="2:7" s="74" customFormat="1" x14ac:dyDescent="0.35">
      <c r="B5" s="287" t="s">
        <v>25</v>
      </c>
      <c r="C5" s="81">
        <v>8280.0400000000009</v>
      </c>
      <c r="D5" s="248">
        <v>44788</v>
      </c>
      <c r="E5" s="248"/>
      <c r="F5" s="275"/>
      <c r="G5" s="276"/>
    </row>
    <row r="6" spans="2:7" s="74" customFormat="1" x14ac:dyDescent="0.35">
      <c r="B6" s="282" t="s">
        <v>26</v>
      </c>
      <c r="C6" s="283">
        <v>0</v>
      </c>
      <c r="D6" s="251"/>
      <c r="E6" s="284"/>
      <c r="F6" s="275"/>
      <c r="G6" s="277"/>
    </row>
    <row r="7" spans="2:7" s="74" customFormat="1" x14ac:dyDescent="0.35">
      <c r="B7" s="190" t="s">
        <v>27</v>
      </c>
      <c r="C7" s="281">
        <v>3086.97</v>
      </c>
      <c r="D7" s="248">
        <v>44782</v>
      </c>
      <c r="E7" s="248">
        <v>44782</v>
      </c>
      <c r="F7" s="278"/>
      <c r="G7" s="277"/>
    </row>
    <row r="8" spans="2:7" s="74" customFormat="1" x14ac:dyDescent="0.35">
      <c r="B8" s="287" t="s">
        <v>28</v>
      </c>
      <c r="C8" s="274">
        <v>0</v>
      </c>
      <c r="D8" s="249" t="s">
        <v>36</v>
      </c>
      <c r="E8" s="249" t="s">
        <v>36</v>
      </c>
      <c r="F8" s="279"/>
      <c r="G8" s="277"/>
    </row>
    <row r="9" spans="2:7" s="74" customFormat="1" x14ac:dyDescent="0.35">
      <c r="B9" s="287" t="s">
        <v>29</v>
      </c>
      <c r="C9" s="109">
        <v>8135.21</v>
      </c>
      <c r="D9" s="248" t="s">
        <v>194</v>
      </c>
      <c r="E9" s="249"/>
      <c r="F9" s="279"/>
      <c r="G9" s="277"/>
    </row>
    <row r="10" spans="2:7" s="74" customFormat="1" x14ac:dyDescent="0.35">
      <c r="B10" s="290" t="s">
        <v>17</v>
      </c>
      <c r="C10" s="82">
        <v>1500</v>
      </c>
      <c r="D10" s="255">
        <v>44774</v>
      </c>
      <c r="E10" s="255">
        <v>44774</v>
      </c>
      <c r="F10" s="279"/>
    </row>
    <row r="11" spans="2:7" s="74" customFormat="1" x14ac:dyDescent="0.35">
      <c r="B11" s="289" t="s">
        <v>32</v>
      </c>
      <c r="C11" s="82">
        <v>7741</v>
      </c>
      <c r="D11" s="255">
        <v>44778</v>
      </c>
      <c r="E11" s="255">
        <v>44778</v>
      </c>
    </row>
    <row r="12" spans="2:7" s="74" customFormat="1" x14ac:dyDescent="0.35">
      <c r="B12" s="289" t="s">
        <v>33</v>
      </c>
      <c r="C12" s="82">
        <v>14000</v>
      </c>
      <c r="D12" s="255">
        <v>44778</v>
      </c>
      <c r="E12" s="255">
        <v>44778</v>
      </c>
    </row>
    <row r="13" spans="2:7" s="74" customFormat="1" x14ac:dyDescent="0.35">
      <c r="B13" s="287" t="s">
        <v>105</v>
      </c>
      <c r="C13" s="288">
        <v>0</v>
      </c>
      <c r="D13" s="280"/>
      <c r="E13" s="249"/>
    </row>
    <row r="14" spans="2:7" s="74" customFormat="1" x14ac:dyDescent="0.35">
      <c r="B14" s="289" t="s">
        <v>106</v>
      </c>
      <c r="C14" s="82">
        <v>5000</v>
      </c>
      <c r="D14" s="255">
        <v>44782</v>
      </c>
      <c r="E14" s="255">
        <v>44749</v>
      </c>
    </row>
    <row r="15" spans="2:7" s="74" customFormat="1" x14ac:dyDescent="0.35">
      <c r="B15" s="287" t="s">
        <v>126</v>
      </c>
      <c r="C15" s="288">
        <v>12100</v>
      </c>
      <c r="D15" s="249"/>
      <c r="E15" s="249"/>
    </row>
    <row r="16" spans="2:7" s="74" customFormat="1" x14ac:dyDescent="0.35">
      <c r="B16" s="287" t="s">
        <v>125</v>
      </c>
      <c r="C16" s="288">
        <v>11900</v>
      </c>
      <c r="D16" s="249"/>
      <c r="E16" s="288"/>
    </row>
    <row r="17" spans="2:5" x14ac:dyDescent="0.35">
      <c r="B17" s="289" t="s">
        <v>182</v>
      </c>
      <c r="C17" s="261">
        <v>10000</v>
      </c>
      <c r="D17" s="260">
        <v>44809</v>
      </c>
      <c r="E17" s="261"/>
    </row>
    <row r="18" spans="2:5" x14ac:dyDescent="0.35">
      <c r="B18" s="285"/>
      <c r="C18" s="109">
        <f>SUM(C3:C17)</f>
        <v>81743.22</v>
      </c>
      <c r="D18" s="285"/>
      <c r="E18" s="285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7"/>
  <sheetViews>
    <sheetView workbookViewId="0">
      <selection sqref="A1:XFD1048576"/>
    </sheetView>
  </sheetViews>
  <sheetFormatPr defaultColWidth="12.7265625" defaultRowHeight="14.5" x14ac:dyDescent="0.35"/>
  <cols>
    <col min="1" max="1" width="12.7265625" style="19"/>
    <col min="2" max="2" width="22.81640625" style="19" bestFit="1" customWidth="1"/>
    <col min="3" max="3" width="9.81640625" style="110" bestFit="1" customWidth="1"/>
    <col min="4" max="4" width="12.36328125" style="19" bestFit="1" customWidth="1"/>
    <col min="5" max="5" width="12.90625" style="19" bestFit="1" customWidth="1"/>
    <col min="6" max="16384" width="12.7265625" style="19"/>
  </cols>
  <sheetData>
    <row r="1" spans="2:8" ht="15" thickBot="1" x14ac:dyDescent="0.4"/>
    <row r="2" spans="2:8" x14ac:dyDescent="0.35">
      <c r="B2" s="199"/>
      <c r="C2" s="262" t="s">
        <v>49</v>
      </c>
      <c r="D2" s="262" t="s">
        <v>48</v>
      </c>
      <c r="E2" s="263" t="s">
        <v>44</v>
      </c>
      <c r="F2" s="169"/>
      <c r="G2" s="298"/>
    </row>
    <row r="3" spans="2:8" s="74" customFormat="1" x14ac:dyDescent="0.35">
      <c r="B3" s="294" t="s">
        <v>23</v>
      </c>
      <c r="C3" s="274">
        <v>0</v>
      </c>
      <c r="D3" s="248"/>
      <c r="E3" s="249"/>
      <c r="F3" s="275"/>
      <c r="G3" s="276"/>
    </row>
    <row r="4" spans="2:8" s="74" customFormat="1" x14ac:dyDescent="0.35">
      <c r="B4" s="293" t="s">
        <v>24</v>
      </c>
      <c r="C4" s="274">
        <v>0</v>
      </c>
      <c r="D4" s="248"/>
      <c r="E4" s="249"/>
      <c r="F4" s="275"/>
      <c r="G4" s="276"/>
    </row>
    <row r="5" spans="2:8" s="74" customFormat="1" x14ac:dyDescent="0.35">
      <c r="B5" s="294" t="s">
        <v>25</v>
      </c>
      <c r="C5" s="81"/>
      <c r="D5" s="248"/>
      <c r="E5" s="248"/>
      <c r="F5" s="275"/>
      <c r="G5" s="276"/>
    </row>
    <row r="6" spans="2:8" s="74" customFormat="1" x14ac:dyDescent="0.35">
      <c r="B6" s="282" t="s">
        <v>26</v>
      </c>
      <c r="C6" s="283">
        <v>0</v>
      </c>
      <c r="D6" s="251"/>
      <c r="E6" s="284"/>
      <c r="F6" s="275"/>
      <c r="G6" s="277"/>
      <c r="H6" s="74">
        <v>11999</v>
      </c>
    </row>
    <row r="7" spans="2:8" s="74" customFormat="1" x14ac:dyDescent="0.35">
      <c r="B7" s="190" t="s">
        <v>27</v>
      </c>
      <c r="C7" s="281"/>
      <c r="D7" s="248">
        <v>44782</v>
      </c>
      <c r="E7" s="248">
        <v>44782</v>
      </c>
      <c r="F7" s="278"/>
      <c r="G7" s="277"/>
      <c r="H7" s="74">
        <v>289</v>
      </c>
    </row>
    <row r="8" spans="2:8" s="74" customFormat="1" x14ac:dyDescent="0.35">
      <c r="B8" s="294" t="s">
        <v>28</v>
      </c>
      <c r="C8" s="274">
        <v>0</v>
      </c>
      <c r="D8" s="249" t="s">
        <v>36</v>
      </c>
      <c r="E8" s="249" t="s">
        <v>36</v>
      </c>
      <c r="F8" s="279"/>
      <c r="G8" s="277"/>
      <c r="H8" s="74">
        <v>1178.82</v>
      </c>
    </row>
    <row r="9" spans="2:8" s="74" customFormat="1" x14ac:dyDescent="0.35">
      <c r="B9" s="294" t="s">
        <v>29</v>
      </c>
      <c r="C9" s="109"/>
      <c r="D9" s="248" t="s">
        <v>194</v>
      </c>
      <c r="E9" s="249"/>
      <c r="F9" s="279"/>
      <c r="G9" s="277"/>
      <c r="H9" s="74">
        <v>199</v>
      </c>
    </row>
    <row r="10" spans="2:8" s="74" customFormat="1" x14ac:dyDescent="0.35">
      <c r="B10" s="297" t="s">
        <v>17</v>
      </c>
      <c r="C10" s="82">
        <v>1500</v>
      </c>
      <c r="D10" s="255">
        <v>44805</v>
      </c>
      <c r="E10" s="255">
        <v>44805</v>
      </c>
      <c r="F10" s="279"/>
      <c r="H10" s="74">
        <v>35.82</v>
      </c>
    </row>
    <row r="11" spans="2:8" s="74" customFormat="1" x14ac:dyDescent="0.35">
      <c r="B11" s="296" t="s">
        <v>32</v>
      </c>
      <c r="C11" s="82">
        <v>7741</v>
      </c>
      <c r="D11" s="255">
        <v>44809</v>
      </c>
      <c r="E11" s="255">
        <v>44809</v>
      </c>
      <c r="H11" s="74">
        <v>49.2</v>
      </c>
    </row>
    <row r="12" spans="2:8" s="74" customFormat="1" x14ac:dyDescent="0.35">
      <c r="B12" s="296" t="s">
        <v>33</v>
      </c>
      <c r="C12" s="82">
        <v>14000</v>
      </c>
      <c r="D12" s="255">
        <v>44807</v>
      </c>
      <c r="E12" s="255">
        <v>44807</v>
      </c>
      <c r="H12" s="74">
        <v>8.86</v>
      </c>
    </row>
    <row r="13" spans="2:8" s="74" customFormat="1" x14ac:dyDescent="0.35">
      <c r="B13" s="296" t="s">
        <v>106</v>
      </c>
      <c r="C13" s="82">
        <v>5000</v>
      </c>
      <c r="D13" s="255">
        <v>44813</v>
      </c>
      <c r="E13" s="255">
        <v>44813</v>
      </c>
      <c r="H13" s="74">
        <v>1511</v>
      </c>
    </row>
    <row r="14" spans="2:8" s="74" customFormat="1" x14ac:dyDescent="0.35">
      <c r="B14" s="294" t="s">
        <v>126</v>
      </c>
      <c r="C14" s="295">
        <v>12100</v>
      </c>
      <c r="D14" s="249">
        <v>44813</v>
      </c>
      <c r="E14" s="249">
        <v>44813</v>
      </c>
      <c r="H14" s="74">
        <v>30.99</v>
      </c>
    </row>
    <row r="15" spans="2:8" s="74" customFormat="1" x14ac:dyDescent="0.35">
      <c r="B15" s="294" t="s">
        <v>125</v>
      </c>
      <c r="C15" s="295">
        <v>11900</v>
      </c>
      <c r="D15" s="249">
        <v>44813</v>
      </c>
      <c r="E15" s="299">
        <v>44813</v>
      </c>
    </row>
    <row r="16" spans="2:8" x14ac:dyDescent="0.35">
      <c r="B16" s="296" t="s">
        <v>182</v>
      </c>
      <c r="C16" s="261">
        <v>10000</v>
      </c>
      <c r="D16" s="260">
        <v>44813</v>
      </c>
      <c r="E16" s="260">
        <v>44813</v>
      </c>
    </row>
    <row r="17" spans="2:5" x14ac:dyDescent="0.35">
      <c r="B17" s="292"/>
      <c r="C17" s="109">
        <f>SUM(C3:C16)</f>
        <v>62241</v>
      </c>
      <c r="D17" s="292"/>
      <c r="E17" s="292"/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7"/>
  <sheetViews>
    <sheetView workbookViewId="0">
      <selection sqref="A1:XFD1048576"/>
    </sheetView>
  </sheetViews>
  <sheetFormatPr defaultColWidth="12.7265625" defaultRowHeight="14.5" x14ac:dyDescent="0.35"/>
  <cols>
    <col min="1" max="1" width="12.7265625" style="19"/>
    <col min="2" max="2" width="22.81640625" style="19" bestFit="1" customWidth="1"/>
    <col min="3" max="3" width="9.81640625" style="110" bestFit="1" customWidth="1"/>
    <col min="4" max="4" width="12.36328125" style="19" bestFit="1" customWidth="1"/>
    <col min="5" max="5" width="12.90625" style="19" bestFit="1" customWidth="1"/>
    <col min="6" max="16384" width="12.7265625" style="19"/>
  </cols>
  <sheetData>
    <row r="1" spans="2:7" ht="15" thickBot="1" x14ac:dyDescent="0.4"/>
    <row r="2" spans="2:7" x14ac:dyDescent="0.35">
      <c r="B2" s="199"/>
      <c r="C2" s="262" t="s">
        <v>49</v>
      </c>
      <c r="D2" s="262" t="s">
        <v>48</v>
      </c>
      <c r="E2" s="263" t="s">
        <v>44</v>
      </c>
      <c r="F2" s="169"/>
      <c r="G2" s="306"/>
    </row>
    <row r="3" spans="2:7" s="74" customFormat="1" x14ac:dyDescent="0.35">
      <c r="B3" s="302" t="s">
        <v>23</v>
      </c>
      <c r="C3" s="274">
        <v>0</v>
      </c>
      <c r="D3" s="248"/>
      <c r="E3" s="249"/>
      <c r="F3" s="275"/>
      <c r="G3" s="276"/>
    </row>
    <row r="4" spans="2:7" s="74" customFormat="1" x14ac:dyDescent="0.35">
      <c r="B4" s="301" t="s">
        <v>24</v>
      </c>
      <c r="C4" s="274">
        <v>0</v>
      </c>
      <c r="D4" s="248"/>
      <c r="E4" s="249"/>
      <c r="F4" s="275"/>
      <c r="G4" s="276"/>
    </row>
    <row r="5" spans="2:7" s="74" customFormat="1" x14ac:dyDescent="0.35">
      <c r="B5" s="307" t="s">
        <v>25</v>
      </c>
      <c r="C5" s="264">
        <v>3619.3</v>
      </c>
      <c r="D5" s="255">
        <v>44845</v>
      </c>
      <c r="E5" s="255">
        <v>44845</v>
      </c>
      <c r="F5" s="275"/>
      <c r="G5" s="276"/>
    </row>
    <row r="6" spans="2:7" s="74" customFormat="1" x14ac:dyDescent="0.35">
      <c r="B6" s="308" t="s">
        <v>26</v>
      </c>
      <c r="C6" s="265">
        <v>69411.67</v>
      </c>
      <c r="D6" s="255">
        <v>44850</v>
      </c>
      <c r="E6" s="266">
        <v>44845</v>
      </c>
      <c r="F6" s="275"/>
      <c r="G6" s="277"/>
    </row>
    <row r="7" spans="2:7" s="74" customFormat="1" x14ac:dyDescent="0.35">
      <c r="B7" s="258" t="s">
        <v>27</v>
      </c>
      <c r="C7" s="310">
        <v>2820</v>
      </c>
      <c r="D7" s="255">
        <v>44845</v>
      </c>
      <c r="E7" s="255">
        <v>44845</v>
      </c>
      <c r="F7" s="278"/>
      <c r="G7" s="277"/>
    </row>
    <row r="8" spans="2:7" s="74" customFormat="1" x14ac:dyDescent="0.35">
      <c r="B8" s="307" t="s">
        <v>28</v>
      </c>
      <c r="C8" s="309">
        <v>5669</v>
      </c>
      <c r="D8" s="255">
        <v>44844</v>
      </c>
      <c r="E8" s="255">
        <v>44844</v>
      </c>
      <c r="F8" s="279"/>
      <c r="G8" s="277"/>
    </row>
    <row r="9" spans="2:7" s="74" customFormat="1" x14ac:dyDescent="0.35">
      <c r="B9" s="302" t="s">
        <v>29</v>
      </c>
      <c r="C9" s="109"/>
      <c r="D9" s="248" t="s">
        <v>194</v>
      </c>
      <c r="E9" s="249"/>
      <c r="F9" s="279"/>
      <c r="G9" s="277"/>
    </row>
    <row r="10" spans="2:7" s="74" customFormat="1" x14ac:dyDescent="0.35">
      <c r="B10" s="305" t="s">
        <v>17</v>
      </c>
      <c r="C10" s="82">
        <v>1500</v>
      </c>
      <c r="D10" s="255">
        <v>44835</v>
      </c>
      <c r="E10" s="255">
        <v>44835</v>
      </c>
      <c r="F10" s="279"/>
    </row>
    <row r="11" spans="2:7" s="74" customFormat="1" x14ac:dyDescent="0.35">
      <c r="B11" s="307" t="s">
        <v>32</v>
      </c>
      <c r="C11" s="82">
        <v>7741</v>
      </c>
      <c r="D11" s="255">
        <v>44839</v>
      </c>
      <c r="E11" s="255">
        <v>44839</v>
      </c>
    </row>
    <row r="12" spans="2:7" s="74" customFormat="1" x14ac:dyDescent="0.35">
      <c r="B12" s="304" t="s">
        <v>33</v>
      </c>
      <c r="C12" s="82">
        <v>14000</v>
      </c>
      <c r="D12" s="255">
        <v>44837</v>
      </c>
      <c r="E12" s="255">
        <v>44837</v>
      </c>
    </row>
    <row r="13" spans="2:7" s="74" customFormat="1" x14ac:dyDescent="0.35">
      <c r="B13" s="307" t="s">
        <v>106</v>
      </c>
      <c r="C13" s="82">
        <v>5000</v>
      </c>
      <c r="D13" s="255">
        <v>44844</v>
      </c>
      <c r="E13" s="255">
        <v>44844</v>
      </c>
    </row>
    <row r="14" spans="2:7" s="74" customFormat="1" x14ac:dyDescent="0.35">
      <c r="B14" s="302" t="s">
        <v>126</v>
      </c>
      <c r="C14" s="303"/>
      <c r="D14" s="249"/>
      <c r="E14" s="249"/>
    </row>
    <row r="15" spans="2:7" s="74" customFormat="1" x14ac:dyDescent="0.35">
      <c r="B15" s="302" t="s">
        <v>125</v>
      </c>
      <c r="C15" s="303"/>
      <c r="D15" s="249"/>
      <c r="E15" s="299"/>
    </row>
    <row r="16" spans="2:7" x14ac:dyDescent="0.35">
      <c r="B16" s="307" t="s">
        <v>182</v>
      </c>
      <c r="C16" s="261">
        <v>10000</v>
      </c>
      <c r="D16" s="260">
        <v>44838</v>
      </c>
      <c r="E16" s="260">
        <v>44838</v>
      </c>
    </row>
    <row r="17" spans="2:5" x14ac:dyDescent="0.35">
      <c r="B17" s="300"/>
      <c r="C17" s="109">
        <f>SUM(C3:C16)</f>
        <v>119760.97</v>
      </c>
      <c r="D17" s="300"/>
      <c r="E17" s="300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7"/>
  <sheetViews>
    <sheetView workbookViewId="0">
      <selection sqref="A1:XFD1048576"/>
    </sheetView>
  </sheetViews>
  <sheetFormatPr defaultColWidth="12.7265625" defaultRowHeight="14.5" x14ac:dyDescent="0.35"/>
  <cols>
    <col min="1" max="1" width="12.7265625" style="19"/>
    <col min="2" max="2" width="22.81640625" style="19" bestFit="1" customWidth="1"/>
    <col min="3" max="3" width="9.81640625" style="110" bestFit="1" customWidth="1"/>
    <col min="4" max="4" width="12.36328125" style="19" bestFit="1" customWidth="1"/>
    <col min="5" max="5" width="12.90625" style="19" bestFit="1" customWidth="1"/>
    <col min="6" max="16384" width="12.7265625" style="19"/>
  </cols>
  <sheetData>
    <row r="1" spans="2:7" ht="15" thickBot="1" x14ac:dyDescent="0.4"/>
    <row r="2" spans="2:7" x14ac:dyDescent="0.35">
      <c r="B2" s="199"/>
      <c r="C2" s="262" t="s">
        <v>49</v>
      </c>
      <c r="D2" s="262" t="s">
        <v>48</v>
      </c>
      <c r="E2" s="263" t="s">
        <v>44</v>
      </c>
      <c r="F2" s="169"/>
      <c r="G2" s="315"/>
    </row>
    <row r="3" spans="2:7" s="74" customFormat="1" x14ac:dyDescent="0.35">
      <c r="B3" s="313" t="s">
        <v>23</v>
      </c>
      <c r="C3" s="274">
        <v>0</v>
      </c>
      <c r="D3" s="248"/>
      <c r="E3" s="249"/>
      <c r="F3" s="275"/>
      <c r="G3" s="276"/>
    </row>
    <row r="4" spans="2:7" s="74" customFormat="1" x14ac:dyDescent="0.35">
      <c r="B4" s="312" t="s">
        <v>24</v>
      </c>
      <c r="C4" s="274">
        <v>0</v>
      </c>
      <c r="D4" s="248"/>
      <c r="E4" s="249"/>
      <c r="F4" s="275"/>
      <c r="G4" s="276"/>
    </row>
    <row r="5" spans="2:7" s="74" customFormat="1" x14ac:dyDescent="0.35">
      <c r="B5" s="313" t="s">
        <v>25</v>
      </c>
      <c r="C5" s="81">
        <v>0</v>
      </c>
      <c r="D5" s="248"/>
      <c r="E5" s="248"/>
      <c r="F5" s="275"/>
      <c r="G5" s="276"/>
    </row>
    <row r="6" spans="2:7" s="74" customFormat="1" x14ac:dyDescent="0.35">
      <c r="B6" s="166" t="s">
        <v>26</v>
      </c>
      <c r="C6" s="318">
        <v>77611.960000000006</v>
      </c>
      <c r="D6" s="248">
        <v>44880</v>
      </c>
      <c r="E6" s="319"/>
      <c r="F6" s="275"/>
      <c r="G6" s="277"/>
    </row>
    <row r="7" spans="2:7" s="74" customFormat="1" x14ac:dyDescent="0.35">
      <c r="B7" s="258" t="s">
        <v>27</v>
      </c>
      <c r="C7" s="310">
        <v>2141.02</v>
      </c>
      <c r="D7" s="255">
        <v>44875</v>
      </c>
      <c r="E7" s="255">
        <v>44875</v>
      </c>
      <c r="F7" s="278"/>
      <c r="G7" s="277"/>
    </row>
    <row r="8" spans="2:7" s="74" customFormat="1" x14ac:dyDescent="0.35">
      <c r="B8" s="313" t="s">
        <v>28</v>
      </c>
      <c r="C8" s="274">
        <v>0</v>
      </c>
      <c r="D8" s="248"/>
      <c r="E8" s="248"/>
      <c r="F8" s="279"/>
      <c r="G8" s="277"/>
    </row>
    <row r="9" spans="2:7" s="74" customFormat="1" x14ac:dyDescent="0.35">
      <c r="B9" s="313" t="s">
        <v>29</v>
      </c>
      <c r="C9" s="109"/>
      <c r="D9" s="248"/>
      <c r="E9" s="249"/>
      <c r="F9" s="279"/>
      <c r="G9" s="277"/>
    </row>
    <row r="10" spans="2:7" s="74" customFormat="1" x14ac:dyDescent="0.35">
      <c r="B10" s="317" t="s">
        <v>17</v>
      </c>
      <c r="C10" s="82">
        <v>1500</v>
      </c>
      <c r="D10" s="255">
        <v>44868</v>
      </c>
      <c r="E10" s="255">
        <v>44868</v>
      </c>
      <c r="F10" s="279"/>
    </row>
    <row r="11" spans="2:7" s="74" customFormat="1" x14ac:dyDescent="0.35">
      <c r="B11" s="316" t="s">
        <v>32</v>
      </c>
      <c r="C11" s="82">
        <v>7741</v>
      </c>
      <c r="D11" s="255">
        <v>44870</v>
      </c>
      <c r="E11" s="255">
        <v>44870</v>
      </c>
    </row>
    <row r="12" spans="2:7" s="74" customFormat="1" x14ac:dyDescent="0.35">
      <c r="B12" s="316" t="s">
        <v>33</v>
      </c>
      <c r="C12" s="82">
        <v>14000</v>
      </c>
      <c r="D12" s="255">
        <v>44868</v>
      </c>
      <c r="E12" s="255">
        <v>44868</v>
      </c>
    </row>
    <row r="13" spans="2:7" s="74" customFormat="1" x14ac:dyDescent="0.35">
      <c r="B13" s="313" t="s">
        <v>106</v>
      </c>
      <c r="C13" s="109">
        <v>0</v>
      </c>
      <c r="D13" s="248"/>
      <c r="E13" s="248"/>
    </row>
    <row r="14" spans="2:7" s="74" customFormat="1" x14ac:dyDescent="0.35">
      <c r="B14" s="313" t="s">
        <v>126</v>
      </c>
      <c r="C14" s="314">
        <v>0</v>
      </c>
      <c r="D14" s="249"/>
      <c r="E14" s="249"/>
    </row>
    <row r="15" spans="2:7" s="74" customFormat="1" x14ac:dyDescent="0.35">
      <c r="B15" s="313" t="s">
        <v>125</v>
      </c>
      <c r="C15" s="314">
        <v>0</v>
      </c>
      <c r="D15" s="249"/>
      <c r="E15" s="299"/>
    </row>
    <row r="16" spans="2:7" s="74" customFormat="1" x14ac:dyDescent="0.35">
      <c r="B16" s="313" t="s">
        <v>182</v>
      </c>
      <c r="C16" s="314">
        <v>9962</v>
      </c>
      <c r="D16" s="249"/>
      <c r="E16" s="249"/>
    </row>
    <row r="17" spans="2:5" x14ac:dyDescent="0.35">
      <c r="B17" s="311"/>
      <c r="C17" s="109">
        <f>SUM(C3:C16)</f>
        <v>112955.98000000001</v>
      </c>
      <c r="D17" s="311"/>
      <c r="E17" s="311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7"/>
  <sheetViews>
    <sheetView workbookViewId="0">
      <selection sqref="A1:XFD1048576"/>
    </sheetView>
  </sheetViews>
  <sheetFormatPr defaultColWidth="12.7265625" defaultRowHeight="14.5" x14ac:dyDescent="0.35"/>
  <cols>
    <col min="1" max="1" width="12.7265625" style="19"/>
    <col min="2" max="2" width="22.81640625" style="19" bestFit="1" customWidth="1"/>
    <col min="3" max="3" width="9.81640625" style="110" bestFit="1" customWidth="1"/>
    <col min="4" max="4" width="12.36328125" style="19" bestFit="1" customWidth="1"/>
    <col min="5" max="5" width="12.90625" style="19" bestFit="1" customWidth="1"/>
    <col min="6" max="16384" width="12.7265625" style="19"/>
  </cols>
  <sheetData>
    <row r="1" spans="2:7" ht="15" thickBot="1" x14ac:dyDescent="0.4"/>
    <row r="2" spans="2:7" x14ac:dyDescent="0.35">
      <c r="B2" s="199"/>
      <c r="C2" s="262" t="s">
        <v>49</v>
      </c>
      <c r="D2" s="262" t="s">
        <v>48</v>
      </c>
      <c r="E2" s="263" t="s">
        <v>44</v>
      </c>
      <c r="F2" s="169"/>
      <c r="G2" s="327"/>
    </row>
    <row r="3" spans="2:7" s="74" customFormat="1" x14ac:dyDescent="0.35">
      <c r="B3" s="323" t="s">
        <v>23</v>
      </c>
      <c r="C3" s="274">
        <v>0</v>
      </c>
      <c r="D3" s="248"/>
      <c r="E3" s="249"/>
      <c r="F3" s="275"/>
      <c r="G3" s="276"/>
    </row>
    <row r="4" spans="2:7" s="74" customFormat="1" x14ac:dyDescent="0.35">
      <c r="B4" s="322" t="s">
        <v>24</v>
      </c>
      <c r="C4" s="274">
        <v>0</v>
      </c>
      <c r="D4" s="248"/>
      <c r="E4" s="249"/>
      <c r="F4" s="275"/>
      <c r="G4" s="276"/>
    </row>
    <row r="5" spans="2:7" s="74" customFormat="1" x14ac:dyDescent="0.35">
      <c r="B5" s="323" t="s">
        <v>25</v>
      </c>
      <c r="C5" s="81">
        <v>0</v>
      </c>
      <c r="D5" s="248"/>
      <c r="E5" s="248"/>
      <c r="F5" s="275"/>
      <c r="G5" s="276"/>
    </row>
    <row r="6" spans="2:7" s="74" customFormat="1" x14ac:dyDescent="0.35">
      <c r="B6" s="166" t="s">
        <v>26</v>
      </c>
      <c r="C6" s="318">
        <v>77611.960000000006</v>
      </c>
      <c r="D6" s="248">
        <v>44880</v>
      </c>
      <c r="E6" s="319"/>
      <c r="F6" s="275"/>
      <c r="G6" s="277"/>
    </row>
    <row r="7" spans="2:7" s="74" customFormat="1" x14ac:dyDescent="0.35">
      <c r="B7" s="258" t="s">
        <v>27</v>
      </c>
      <c r="C7" s="310">
        <v>2141.02</v>
      </c>
      <c r="D7" s="255">
        <v>44875</v>
      </c>
      <c r="E7" s="255">
        <v>44875</v>
      </c>
      <c r="F7" s="278"/>
      <c r="G7" s="277"/>
    </row>
    <row r="8" spans="2:7" s="74" customFormat="1" x14ac:dyDescent="0.35">
      <c r="B8" s="323" t="s">
        <v>28</v>
      </c>
      <c r="C8" s="274">
        <v>0</v>
      </c>
      <c r="D8" s="248"/>
      <c r="E8" s="248"/>
      <c r="F8" s="279"/>
      <c r="G8" s="277"/>
    </row>
    <row r="9" spans="2:7" s="74" customFormat="1" x14ac:dyDescent="0.35">
      <c r="B9" s="323" t="s">
        <v>29</v>
      </c>
      <c r="C9" s="109"/>
      <c r="D9" s="248"/>
      <c r="E9" s="249"/>
      <c r="F9" s="279"/>
      <c r="G9" s="277"/>
    </row>
    <row r="10" spans="2:7" s="74" customFormat="1" x14ac:dyDescent="0.35">
      <c r="B10" s="326" t="s">
        <v>17</v>
      </c>
      <c r="C10" s="82">
        <v>1500</v>
      </c>
      <c r="D10" s="255">
        <v>44868</v>
      </c>
      <c r="E10" s="255">
        <v>44868</v>
      </c>
      <c r="F10" s="279"/>
    </row>
    <row r="11" spans="2:7" s="74" customFormat="1" x14ac:dyDescent="0.35">
      <c r="B11" s="325" t="s">
        <v>32</v>
      </c>
      <c r="C11" s="82">
        <v>7741</v>
      </c>
      <c r="D11" s="255">
        <v>44870</v>
      </c>
      <c r="E11" s="255">
        <v>44870</v>
      </c>
    </row>
    <row r="12" spans="2:7" s="74" customFormat="1" x14ac:dyDescent="0.35">
      <c r="B12" s="325" t="s">
        <v>33</v>
      </c>
      <c r="C12" s="82">
        <v>14000</v>
      </c>
      <c r="D12" s="255">
        <v>44868</v>
      </c>
      <c r="E12" s="255">
        <v>44868</v>
      </c>
    </row>
    <row r="13" spans="2:7" s="74" customFormat="1" x14ac:dyDescent="0.35">
      <c r="B13" s="323" t="s">
        <v>106</v>
      </c>
      <c r="C13" s="109">
        <v>0</v>
      </c>
      <c r="D13" s="248"/>
      <c r="E13" s="248"/>
    </row>
    <row r="14" spans="2:7" s="74" customFormat="1" x14ac:dyDescent="0.35">
      <c r="B14" s="323" t="s">
        <v>126</v>
      </c>
      <c r="C14" s="324">
        <v>0</v>
      </c>
      <c r="D14" s="249"/>
      <c r="E14" s="249"/>
    </row>
    <row r="15" spans="2:7" s="74" customFormat="1" x14ac:dyDescent="0.35">
      <c r="B15" s="323" t="s">
        <v>125</v>
      </c>
      <c r="C15" s="324">
        <v>0</v>
      </c>
      <c r="D15" s="249"/>
      <c r="E15" s="299"/>
    </row>
    <row r="16" spans="2:7" s="74" customFormat="1" x14ac:dyDescent="0.35">
      <c r="B16" s="323" t="s">
        <v>182</v>
      </c>
      <c r="C16" s="324">
        <v>9962</v>
      </c>
      <c r="D16" s="249"/>
      <c r="E16" s="249"/>
    </row>
    <row r="17" spans="2:5" x14ac:dyDescent="0.35">
      <c r="B17" s="321"/>
      <c r="C17" s="109">
        <f>SUM(C3:C16)</f>
        <v>112955.98000000001</v>
      </c>
      <c r="D17" s="321"/>
      <c r="E17" s="321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7"/>
  <sheetViews>
    <sheetView workbookViewId="0">
      <selection sqref="A1:XFD1048576"/>
    </sheetView>
  </sheetViews>
  <sheetFormatPr defaultColWidth="12.7265625" defaultRowHeight="14.5" x14ac:dyDescent="0.35"/>
  <cols>
    <col min="1" max="1" width="12.7265625" style="19"/>
    <col min="2" max="2" width="22.81640625" style="19" bestFit="1" customWidth="1"/>
    <col min="3" max="3" width="9.81640625" style="110" bestFit="1" customWidth="1"/>
    <col min="4" max="4" width="12.36328125" style="19" bestFit="1" customWidth="1"/>
    <col min="5" max="5" width="12.90625" style="19" bestFit="1" customWidth="1"/>
    <col min="6" max="16384" width="12.7265625" style="19"/>
  </cols>
  <sheetData>
    <row r="1" spans="2:7" ht="15" thickBot="1" x14ac:dyDescent="0.4"/>
    <row r="2" spans="2:7" x14ac:dyDescent="0.35">
      <c r="B2" s="199"/>
      <c r="C2" s="262" t="s">
        <v>49</v>
      </c>
      <c r="D2" s="262" t="s">
        <v>48</v>
      </c>
      <c r="E2" s="263" t="s">
        <v>44</v>
      </c>
      <c r="F2" s="169"/>
      <c r="G2" s="327"/>
    </row>
    <row r="3" spans="2:7" s="74" customFormat="1" x14ac:dyDescent="0.35">
      <c r="B3" s="323" t="s">
        <v>23</v>
      </c>
      <c r="C3" s="274">
        <v>0</v>
      </c>
      <c r="D3" s="248"/>
      <c r="E3" s="249"/>
      <c r="F3" s="275"/>
      <c r="G3" s="276"/>
    </row>
    <row r="4" spans="2:7" s="74" customFormat="1" x14ac:dyDescent="0.35">
      <c r="B4" s="322" t="s">
        <v>24</v>
      </c>
      <c r="C4" s="274">
        <v>0</v>
      </c>
      <c r="D4" s="248"/>
      <c r="E4" s="249"/>
      <c r="F4" s="275"/>
      <c r="G4" s="276"/>
    </row>
    <row r="5" spans="2:7" s="74" customFormat="1" x14ac:dyDescent="0.35">
      <c r="B5" s="323" t="s">
        <v>25</v>
      </c>
      <c r="C5" s="81">
        <v>0</v>
      </c>
      <c r="D5" s="248"/>
      <c r="E5" s="248"/>
      <c r="F5" s="275"/>
      <c r="G5" s="276"/>
    </row>
    <row r="6" spans="2:7" s="74" customFormat="1" x14ac:dyDescent="0.35">
      <c r="B6" s="166" t="s">
        <v>26</v>
      </c>
      <c r="C6" s="143">
        <v>86269.74</v>
      </c>
      <c r="D6" s="248">
        <v>44941</v>
      </c>
      <c r="E6" s="319"/>
      <c r="F6" s="275"/>
      <c r="G6" s="277"/>
    </row>
    <row r="7" spans="2:7" s="74" customFormat="1" x14ac:dyDescent="0.35">
      <c r="B7" s="258" t="s">
        <v>27</v>
      </c>
      <c r="C7" s="310">
        <v>3840</v>
      </c>
      <c r="D7" s="255">
        <v>44875</v>
      </c>
      <c r="E7" s="255">
        <v>44875</v>
      </c>
      <c r="F7" s="278"/>
      <c r="G7" s="277"/>
    </row>
    <row r="8" spans="2:7" s="74" customFormat="1" x14ac:dyDescent="0.35">
      <c r="B8" s="323" t="s">
        <v>28</v>
      </c>
      <c r="C8" s="274">
        <v>0</v>
      </c>
      <c r="D8" s="248"/>
      <c r="E8" s="248"/>
      <c r="F8" s="279"/>
      <c r="G8" s="277"/>
    </row>
    <row r="9" spans="2:7" s="74" customFormat="1" x14ac:dyDescent="0.35">
      <c r="B9" s="323" t="s">
        <v>29</v>
      </c>
      <c r="C9" s="109"/>
      <c r="D9" s="248"/>
      <c r="E9" s="249"/>
      <c r="F9" s="279"/>
      <c r="G9" s="277"/>
    </row>
    <row r="10" spans="2:7" s="74" customFormat="1" x14ac:dyDescent="0.35">
      <c r="B10" s="326" t="s">
        <v>17</v>
      </c>
      <c r="C10" s="82">
        <v>1500</v>
      </c>
      <c r="D10" s="255">
        <v>44868</v>
      </c>
      <c r="E10" s="255">
        <v>44868</v>
      </c>
      <c r="F10" s="279"/>
    </row>
    <row r="11" spans="2:7" s="74" customFormat="1" x14ac:dyDescent="0.35">
      <c r="B11" s="325" t="s">
        <v>32</v>
      </c>
      <c r="C11" s="82">
        <v>7741</v>
      </c>
      <c r="D11" s="255">
        <v>44870</v>
      </c>
      <c r="E11" s="255">
        <v>44870</v>
      </c>
    </row>
    <row r="12" spans="2:7" s="74" customFormat="1" x14ac:dyDescent="0.35">
      <c r="B12" s="325" t="s">
        <v>33</v>
      </c>
      <c r="C12" s="82">
        <v>14000</v>
      </c>
      <c r="D12" s="255">
        <v>44868</v>
      </c>
      <c r="E12" s="255">
        <v>44868</v>
      </c>
    </row>
    <row r="13" spans="2:7" s="74" customFormat="1" x14ac:dyDescent="0.35">
      <c r="B13" s="323" t="s">
        <v>106</v>
      </c>
      <c r="C13" s="109">
        <v>0</v>
      </c>
      <c r="D13" s="248"/>
      <c r="E13" s="248"/>
    </row>
    <row r="14" spans="2:7" s="74" customFormat="1" x14ac:dyDescent="0.35">
      <c r="B14" s="323" t="s">
        <v>126</v>
      </c>
      <c r="C14" s="324">
        <v>0</v>
      </c>
      <c r="D14" s="249"/>
      <c r="E14" s="249"/>
    </row>
    <row r="15" spans="2:7" s="74" customFormat="1" x14ac:dyDescent="0.35">
      <c r="B15" s="323" t="s">
        <v>125</v>
      </c>
      <c r="C15" s="324">
        <v>0</v>
      </c>
      <c r="D15" s="249"/>
      <c r="E15" s="299"/>
    </row>
    <row r="16" spans="2:7" s="74" customFormat="1" x14ac:dyDescent="0.35">
      <c r="B16" s="323" t="s">
        <v>182</v>
      </c>
      <c r="C16" s="324">
        <v>0</v>
      </c>
      <c r="D16" s="249"/>
      <c r="E16" s="249"/>
    </row>
    <row r="17" spans="2:5" x14ac:dyDescent="0.35">
      <c r="B17" s="321"/>
      <c r="C17" s="109">
        <f>SUM(C3:C16)</f>
        <v>113350.74</v>
      </c>
      <c r="D17" s="321"/>
      <c r="E17" s="321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7"/>
  <sheetViews>
    <sheetView workbookViewId="0">
      <selection sqref="A1:XFD1048576"/>
    </sheetView>
  </sheetViews>
  <sheetFormatPr defaultColWidth="12.7265625" defaultRowHeight="14.5" x14ac:dyDescent="0.35"/>
  <cols>
    <col min="1" max="1" width="12.7265625" style="19"/>
    <col min="2" max="2" width="22.81640625" style="19" bestFit="1" customWidth="1"/>
    <col min="3" max="3" width="9.81640625" style="110" bestFit="1" customWidth="1"/>
    <col min="4" max="4" width="12.36328125" style="19" bestFit="1" customWidth="1"/>
    <col min="5" max="5" width="12.90625" style="19" bestFit="1" customWidth="1"/>
    <col min="6" max="16384" width="12.7265625" style="19"/>
  </cols>
  <sheetData>
    <row r="1" spans="2:7" ht="15" thickBot="1" x14ac:dyDescent="0.4"/>
    <row r="2" spans="2:7" x14ac:dyDescent="0.35">
      <c r="B2" s="199"/>
      <c r="C2" s="262" t="s">
        <v>49</v>
      </c>
      <c r="D2" s="262" t="s">
        <v>48</v>
      </c>
      <c r="E2" s="263" t="s">
        <v>44</v>
      </c>
      <c r="F2" s="169"/>
      <c r="G2" s="334"/>
    </row>
    <row r="3" spans="2:7" s="74" customFormat="1" x14ac:dyDescent="0.35">
      <c r="B3" s="330" t="s">
        <v>23</v>
      </c>
      <c r="C3" s="274">
        <v>0</v>
      </c>
      <c r="D3" s="248"/>
      <c r="E3" s="249"/>
      <c r="F3" s="275"/>
      <c r="G3" s="276"/>
    </row>
    <row r="4" spans="2:7" s="74" customFormat="1" x14ac:dyDescent="0.35">
      <c r="B4" s="329" t="s">
        <v>24</v>
      </c>
      <c r="C4" s="274">
        <v>0</v>
      </c>
      <c r="D4" s="248"/>
      <c r="E4" s="249"/>
      <c r="F4" s="275"/>
      <c r="G4" s="276"/>
    </row>
    <row r="5" spans="2:7" s="74" customFormat="1" x14ac:dyDescent="0.35">
      <c r="B5" s="330" t="s">
        <v>25</v>
      </c>
      <c r="C5" s="81">
        <v>0</v>
      </c>
      <c r="D5" s="248"/>
      <c r="E5" s="248"/>
      <c r="F5" s="275"/>
      <c r="G5" s="276"/>
    </row>
    <row r="6" spans="2:7" s="74" customFormat="1" x14ac:dyDescent="0.35">
      <c r="B6" s="166" t="s">
        <v>26</v>
      </c>
      <c r="C6" s="143">
        <v>24818.74</v>
      </c>
      <c r="D6" s="248">
        <v>44971</v>
      </c>
      <c r="E6" s="319"/>
      <c r="F6" s="275"/>
      <c r="G6" s="277"/>
    </row>
    <row r="7" spans="2:7" s="74" customFormat="1" x14ac:dyDescent="0.35">
      <c r="B7" s="190" t="s">
        <v>27</v>
      </c>
      <c r="C7" s="335"/>
      <c r="D7" s="248"/>
      <c r="E7" s="248"/>
      <c r="F7" s="278"/>
      <c r="G7" s="277"/>
    </row>
    <row r="8" spans="2:7" s="74" customFormat="1" x14ac:dyDescent="0.35">
      <c r="B8" s="330" t="s">
        <v>28</v>
      </c>
      <c r="C8" s="274">
        <v>0</v>
      </c>
      <c r="D8" s="248"/>
      <c r="E8" s="248"/>
      <c r="F8" s="279"/>
      <c r="G8" s="277"/>
    </row>
    <row r="9" spans="2:7" s="74" customFormat="1" x14ac:dyDescent="0.35">
      <c r="B9" s="330" t="s">
        <v>29</v>
      </c>
      <c r="C9" s="109"/>
      <c r="D9" s="248"/>
      <c r="E9" s="249"/>
      <c r="F9" s="279"/>
      <c r="G9" s="277"/>
    </row>
    <row r="10" spans="2:7" s="74" customFormat="1" x14ac:dyDescent="0.35">
      <c r="B10" s="333" t="s">
        <v>17</v>
      </c>
      <c r="C10" s="82">
        <v>1500</v>
      </c>
      <c r="D10" s="255">
        <v>44868</v>
      </c>
      <c r="E10" s="255">
        <v>44868</v>
      </c>
      <c r="F10" s="279"/>
    </row>
    <row r="11" spans="2:7" s="74" customFormat="1" x14ac:dyDescent="0.35">
      <c r="B11" s="332" t="s">
        <v>32</v>
      </c>
      <c r="C11" s="82">
        <v>4432</v>
      </c>
      <c r="D11" s="255">
        <v>44870</v>
      </c>
      <c r="E11" s="255">
        <v>44870</v>
      </c>
    </row>
    <row r="12" spans="2:7" s="74" customFormat="1" x14ac:dyDescent="0.35">
      <c r="B12" s="332" t="s">
        <v>33</v>
      </c>
      <c r="C12" s="82">
        <v>15000</v>
      </c>
      <c r="D12" s="255">
        <v>44868</v>
      </c>
      <c r="E12" s="255">
        <v>44868</v>
      </c>
    </row>
    <row r="13" spans="2:7" s="74" customFormat="1" x14ac:dyDescent="0.35">
      <c r="B13" s="330" t="s">
        <v>106</v>
      </c>
      <c r="C13" s="109">
        <v>0</v>
      </c>
      <c r="D13" s="248"/>
      <c r="E13" s="248"/>
    </row>
    <row r="14" spans="2:7" s="74" customFormat="1" x14ac:dyDescent="0.35">
      <c r="B14" s="330" t="s">
        <v>126</v>
      </c>
      <c r="C14" s="331">
        <v>0</v>
      </c>
      <c r="D14" s="249"/>
      <c r="E14" s="249"/>
    </row>
    <row r="15" spans="2:7" s="74" customFormat="1" x14ac:dyDescent="0.35">
      <c r="B15" s="330" t="s">
        <v>125</v>
      </c>
      <c r="C15" s="331">
        <v>0</v>
      </c>
      <c r="D15" s="249"/>
      <c r="E15" s="299"/>
    </row>
    <row r="16" spans="2:7" s="74" customFormat="1" x14ac:dyDescent="0.35">
      <c r="B16" s="330" t="s">
        <v>182</v>
      </c>
      <c r="C16" s="331">
        <v>0</v>
      </c>
      <c r="D16" s="249"/>
      <c r="E16" s="249"/>
    </row>
    <row r="17" spans="2:5" x14ac:dyDescent="0.35">
      <c r="B17" s="328"/>
      <c r="C17" s="109">
        <f>SUM(C3:C16)</f>
        <v>45750.740000000005</v>
      </c>
      <c r="D17" s="328"/>
      <c r="E17" s="328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5"/>
  <sheetViews>
    <sheetView workbookViewId="0">
      <selection activeCell="C14" sqref="C14"/>
    </sheetView>
  </sheetViews>
  <sheetFormatPr defaultColWidth="12.7265625" defaultRowHeight="14.5" x14ac:dyDescent="0.35"/>
  <cols>
    <col min="1" max="1" width="12.7265625" style="19"/>
    <col min="2" max="2" width="22.81640625" style="19" bestFit="1" customWidth="1"/>
    <col min="3" max="3" width="9.81640625" style="110" bestFit="1" customWidth="1"/>
    <col min="4" max="4" width="12.36328125" style="19" bestFit="1" customWidth="1"/>
    <col min="5" max="5" width="12.90625" style="19" bestFit="1" customWidth="1"/>
    <col min="6" max="16384" width="12.7265625" style="19"/>
  </cols>
  <sheetData>
    <row r="1" spans="2:7" ht="15" thickBot="1" x14ac:dyDescent="0.4"/>
    <row r="2" spans="2:7" x14ac:dyDescent="0.35">
      <c r="B2" s="199"/>
      <c r="C2" s="262" t="s">
        <v>49</v>
      </c>
      <c r="D2" s="262" t="s">
        <v>48</v>
      </c>
      <c r="E2" s="263" t="s">
        <v>44</v>
      </c>
      <c r="F2" s="169"/>
      <c r="G2" s="342"/>
    </row>
    <row r="3" spans="2:7" s="74" customFormat="1" x14ac:dyDescent="0.35">
      <c r="B3" s="340" t="s">
        <v>23</v>
      </c>
      <c r="C3" s="309">
        <v>8499</v>
      </c>
      <c r="D3" s="255" t="s">
        <v>195</v>
      </c>
      <c r="E3" s="260" t="s">
        <v>196</v>
      </c>
      <c r="F3" s="275"/>
      <c r="G3" s="276"/>
    </row>
    <row r="4" spans="2:7" s="74" customFormat="1" x14ac:dyDescent="0.35">
      <c r="B4" s="337" t="s">
        <v>24</v>
      </c>
      <c r="C4" s="274">
        <v>0</v>
      </c>
      <c r="D4" s="248"/>
      <c r="E4" s="249"/>
      <c r="F4" s="275"/>
      <c r="G4" s="276"/>
    </row>
    <row r="5" spans="2:7" s="74" customFormat="1" x14ac:dyDescent="0.35">
      <c r="B5" s="338" t="s">
        <v>25</v>
      </c>
      <c r="C5" s="81">
        <v>0</v>
      </c>
      <c r="D5" s="248"/>
      <c r="E5" s="248"/>
      <c r="F5" s="275"/>
      <c r="G5" s="276"/>
    </row>
    <row r="6" spans="2:7" s="74" customFormat="1" x14ac:dyDescent="0.35">
      <c r="B6" s="166" t="s">
        <v>26</v>
      </c>
      <c r="C6" s="343" t="s">
        <v>197</v>
      </c>
      <c r="D6" s="248" t="s">
        <v>198</v>
      </c>
      <c r="E6" s="319"/>
      <c r="F6" s="275"/>
      <c r="G6" s="277"/>
    </row>
    <row r="7" spans="2:7" s="74" customFormat="1" x14ac:dyDescent="0.35">
      <c r="B7" s="190" t="s">
        <v>27</v>
      </c>
      <c r="C7" s="344">
        <v>52250.53</v>
      </c>
      <c r="D7" s="248" t="s">
        <v>199</v>
      </c>
      <c r="E7" s="248"/>
      <c r="F7" s="278"/>
      <c r="G7" s="277"/>
    </row>
    <row r="8" spans="2:7" s="74" customFormat="1" x14ac:dyDescent="0.35">
      <c r="B8" s="338" t="s">
        <v>28</v>
      </c>
      <c r="C8" s="274">
        <v>0</v>
      </c>
      <c r="D8" s="248"/>
      <c r="E8" s="248"/>
      <c r="F8" s="279"/>
      <c r="G8" s="277"/>
    </row>
    <row r="9" spans="2:7" s="74" customFormat="1" x14ac:dyDescent="0.35">
      <c r="B9" s="338" t="s">
        <v>29</v>
      </c>
      <c r="C9" s="274">
        <v>0</v>
      </c>
      <c r="D9" s="248"/>
      <c r="E9" s="249"/>
      <c r="F9" s="279"/>
      <c r="G9" s="277"/>
    </row>
    <row r="10" spans="2:7" s="74" customFormat="1" x14ac:dyDescent="0.35">
      <c r="B10" s="341" t="s">
        <v>17</v>
      </c>
      <c r="C10" s="82">
        <v>1500</v>
      </c>
      <c r="D10" s="255">
        <v>44868</v>
      </c>
      <c r="E10" s="255">
        <v>44868</v>
      </c>
      <c r="F10" s="279"/>
    </row>
    <row r="11" spans="2:7" s="74" customFormat="1" x14ac:dyDescent="0.35">
      <c r="B11" s="340" t="s">
        <v>33</v>
      </c>
      <c r="C11" s="82">
        <v>15000</v>
      </c>
      <c r="D11" s="255">
        <v>44868</v>
      </c>
      <c r="E11" s="255">
        <v>44868</v>
      </c>
    </row>
    <row r="12" spans="2:7" s="74" customFormat="1" x14ac:dyDescent="0.35">
      <c r="B12" s="338" t="s">
        <v>126</v>
      </c>
      <c r="C12" s="274">
        <v>7500</v>
      </c>
      <c r="D12" s="249"/>
      <c r="E12" s="249"/>
    </row>
    <row r="13" spans="2:7" s="74" customFormat="1" x14ac:dyDescent="0.35">
      <c r="B13" s="338" t="s">
        <v>125</v>
      </c>
      <c r="C13" s="274">
        <v>7500</v>
      </c>
      <c r="D13" s="249"/>
      <c r="E13" s="299"/>
    </row>
    <row r="14" spans="2:7" s="74" customFormat="1" x14ac:dyDescent="0.35">
      <c r="B14" s="338" t="s">
        <v>182</v>
      </c>
      <c r="C14" s="339">
        <v>9000</v>
      </c>
      <c r="D14" s="249"/>
      <c r="E14" s="249"/>
    </row>
    <row r="15" spans="2:7" x14ac:dyDescent="0.35">
      <c r="B15" s="336"/>
      <c r="C15" s="109">
        <f>SUM(C3:C14)</f>
        <v>101249.53</v>
      </c>
      <c r="D15" s="336"/>
      <c r="E15" s="336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4:F44"/>
  <sheetViews>
    <sheetView workbookViewId="0">
      <selection activeCell="F44" sqref="F4:F44"/>
    </sheetView>
  </sheetViews>
  <sheetFormatPr defaultRowHeight="14.5" x14ac:dyDescent="0.35"/>
  <sheetData>
    <row r="4" spans="6:6" x14ac:dyDescent="0.35">
      <c r="F4">
        <v>500</v>
      </c>
    </row>
    <row r="5" spans="6:6" x14ac:dyDescent="0.35">
      <c r="F5">
        <v>200</v>
      </c>
    </row>
    <row r="6" spans="6:6" x14ac:dyDescent="0.35">
      <c r="F6">
        <v>245</v>
      </c>
    </row>
    <row r="7" spans="6:6" x14ac:dyDescent="0.35">
      <c r="F7">
        <v>820</v>
      </c>
    </row>
    <row r="8" spans="6:6" x14ac:dyDescent="0.35">
      <c r="F8">
        <v>3977</v>
      </c>
    </row>
    <row r="9" spans="6:6" x14ac:dyDescent="0.35">
      <c r="F9">
        <v>257</v>
      </c>
    </row>
    <row r="10" spans="6:6" x14ac:dyDescent="0.35">
      <c r="F10">
        <v>257</v>
      </c>
    </row>
    <row r="11" spans="6:6" x14ac:dyDescent="0.35">
      <c r="F11">
        <v>10</v>
      </c>
    </row>
    <row r="12" spans="6:6" x14ac:dyDescent="0.35">
      <c r="F12">
        <v>50</v>
      </c>
    </row>
    <row r="13" spans="6:6" x14ac:dyDescent="0.35">
      <c r="F13">
        <v>40</v>
      </c>
    </row>
    <row r="14" spans="6:6" x14ac:dyDescent="0.35">
      <c r="F14">
        <v>230</v>
      </c>
    </row>
    <row r="15" spans="6:6" x14ac:dyDescent="0.35">
      <c r="F15">
        <v>200</v>
      </c>
    </row>
    <row r="16" spans="6:6" x14ac:dyDescent="0.35">
      <c r="F16">
        <v>150</v>
      </c>
    </row>
    <row r="17" spans="6:6" x14ac:dyDescent="0.35">
      <c r="F17">
        <v>210</v>
      </c>
    </row>
    <row r="18" spans="6:6" x14ac:dyDescent="0.35">
      <c r="F18">
        <v>239</v>
      </c>
    </row>
    <row r="19" spans="6:6" x14ac:dyDescent="0.35">
      <c r="F19">
        <v>80</v>
      </c>
    </row>
    <row r="20" spans="6:6" x14ac:dyDescent="0.35">
      <c r="F20">
        <v>100</v>
      </c>
    </row>
    <row r="21" spans="6:6" x14ac:dyDescent="0.35">
      <c r="F21">
        <v>90</v>
      </c>
    </row>
    <row r="22" spans="6:6" x14ac:dyDescent="0.35">
      <c r="F22">
        <v>203</v>
      </c>
    </row>
    <row r="23" spans="6:6" x14ac:dyDescent="0.35">
      <c r="F23">
        <v>195</v>
      </c>
    </row>
    <row r="24" spans="6:6" x14ac:dyDescent="0.35">
      <c r="F24">
        <v>20</v>
      </c>
    </row>
    <row r="25" spans="6:6" x14ac:dyDescent="0.35">
      <c r="F25">
        <v>31</v>
      </c>
    </row>
    <row r="26" spans="6:6" x14ac:dyDescent="0.35">
      <c r="F26">
        <v>31</v>
      </c>
    </row>
    <row r="27" spans="6:6" x14ac:dyDescent="0.35">
      <c r="F27">
        <v>300</v>
      </c>
    </row>
    <row r="28" spans="6:6" x14ac:dyDescent="0.35">
      <c r="F28">
        <v>50</v>
      </c>
    </row>
    <row r="29" spans="6:6" x14ac:dyDescent="0.35">
      <c r="F29">
        <v>62</v>
      </c>
    </row>
    <row r="30" spans="6:6" x14ac:dyDescent="0.35">
      <c r="F30">
        <v>200</v>
      </c>
    </row>
    <row r="31" spans="6:6" x14ac:dyDescent="0.35">
      <c r="F31">
        <v>3.54</v>
      </c>
    </row>
    <row r="32" spans="6:6" x14ac:dyDescent="0.35">
      <c r="F32">
        <v>80</v>
      </c>
    </row>
    <row r="33" spans="6:6" x14ac:dyDescent="0.35">
      <c r="F33">
        <v>30</v>
      </c>
    </row>
    <row r="34" spans="6:6" x14ac:dyDescent="0.35">
      <c r="F34">
        <v>245</v>
      </c>
    </row>
    <row r="35" spans="6:6" x14ac:dyDescent="0.35">
      <c r="F35">
        <v>300</v>
      </c>
    </row>
    <row r="36" spans="6:6" x14ac:dyDescent="0.35">
      <c r="F36">
        <v>30</v>
      </c>
    </row>
    <row r="37" spans="6:6" x14ac:dyDescent="0.35">
      <c r="F37">
        <v>250</v>
      </c>
    </row>
    <row r="38" spans="6:6" x14ac:dyDescent="0.35">
      <c r="F38">
        <v>380</v>
      </c>
    </row>
    <row r="39" spans="6:6" x14ac:dyDescent="0.35">
      <c r="F39">
        <v>1700</v>
      </c>
    </row>
    <row r="40" spans="6:6" x14ac:dyDescent="0.35">
      <c r="F40">
        <v>15</v>
      </c>
    </row>
    <row r="41" spans="6:6" x14ac:dyDescent="0.35">
      <c r="F41">
        <v>398</v>
      </c>
    </row>
    <row r="42" spans="6:6" x14ac:dyDescent="0.35">
      <c r="F42">
        <v>599</v>
      </c>
    </row>
    <row r="43" spans="6:6" x14ac:dyDescent="0.35">
      <c r="F43">
        <v>199</v>
      </c>
    </row>
    <row r="44" spans="6:6" x14ac:dyDescent="0.35">
      <c r="F44">
        <v>5526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CREDIT CARD DETAILS</vt:lpstr>
      <vt:lpstr>Learning Topics</vt:lpstr>
      <vt:lpstr>AUGUST</vt:lpstr>
      <vt:lpstr>September</vt:lpstr>
      <vt:lpstr>October</vt:lpstr>
      <vt:lpstr>November</vt:lpstr>
      <vt:lpstr>December</vt:lpstr>
      <vt:lpstr>Jan 2021</vt:lpstr>
      <vt:lpstr>Feb 2021</vt:lpstr>
      <vt:lpstr>MARCH 2021</vt:lpstr>
      <vt:lpstr>APRIL 2021</vt:lpstr>
      <vt:lpstr>May 2021</vt:lpstr>
      <vt:lpstr>June 2021</vt:lpstr>
      <vt:lpstr>July 2021</vt:lpstr>
      <vt:lpstr>August 2021</vt:lpstr>
      <vt:lpstr>Sept 2021</vt:lpstr>
      <vt:lpstr>Nov 2021</vt:lpstr>
      <vt:lpstr>DEC 2021</vt:lpstr>
      <vt:lpstr>JAN 2022</vt:lpstr>
      <vt:lpstr>FEB 2022</vt:lpstr>
      <vt:lpstr>March 2022</vt:lpstr>
      <vt:lpstr>April 2022</vt:lpstr>
      <vt:lpstr>May 2022</vt:lpstr>
      <vt:lpstr>June 2022</vt:lpstr>
      <vt:lpstr>July 2022</vt:lpstr>
      <vt:lpstr>Aug 2022</vt:lpstr>
      <vt:lpstr>Sept 2022</vt:lpstr>
      <vt:lpstr>Oct 2022</vt:lpstr>
      <vt:lpstr>Nov 2022</vt:lpstr>
      <vt:lpstr>DEC 2022</vt:lpstr>
      <vt:lpstr>JAN 2023</vt:lpstr>
      <vt:lpstr>FEB 2023</vt:lpstr>
      <vt:lpstr>APR 2023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2026-07-28T14:28:58Z</dcterms:modified>
</cp:coreProperties>
</file>