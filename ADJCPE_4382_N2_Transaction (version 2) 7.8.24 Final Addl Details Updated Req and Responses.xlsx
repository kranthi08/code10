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DomaniRx\PART D ACCUMULATOR\Nx TRANSACTIONS\"/>
    </mc:Choice>
  </mc:AlternateContent>
  <bookViews>
    <workbookView xWindow="28700" yWindow="0" windowWidth="29280" windowHeight="15600" tabRatio="792" activeTab="2"/>
  </bookViews>
  <sheets>
    <sheet name="Test Counts" sheetId="39" r:id="rId1"/>
    <sheet name="TS Cover Page" sheetId="53" r:id="rId2"/>
    <sheet name="T1 N2 Transaction" sheetId="64" r:id="rId3"/>
  </sheets>
  <definedNames>
    <definedName name="_xlnm.Print_Area" localSheetId="0">'Test Counts'!$A:$I</definedName>
    <definedName name="_xlnm.Print_Area" localSheetId="1">'TS Cover Page'!$A$1:$C$12</definedName>
    <definedName name="_xlnm.Print_Titles" localSheetId="0">'Test Counts'!$1:$2</definedName>
    <definedName name="_xlnm.Print_Titles" localSheetId="1">'TS Cover Page'!$1:$3</definedName>
  </definedNames>
  <calcPr calcId="162913"/>
  <customWorkbookViews>
    <customWorkbookView name="DT62944 - Personal View" guid="{46BEEE0D-16CC-42B5-8306-2F39F9275049}" mergeInterval="0" personalView="1" maximized="1" xWindow="1" yWindow="1" windowWidth="1288" windowHeight="804" tabRatio="940" activeSheetId="32"/>
    <customWorkbookView name="ck4i - Personal View" guid="{C0055820-9A45-41A8-AE16-8A748AC64EEA}" mergeInterval="0" personalView="1" maximized="1" xWindow="1" yWindow="1" windowWidth="1607" windowHeight="722" tabRatio="940" activeSheetId="22"/>
    <customWorkbookView name="cl8d - Personal View" guid="{6889E591-A882-4BBB-B462-CD4BAF00BAC9}" mergeInterval="0" personalView="1" maximized="1" xWindow="1" yWindow="1" windowWidth="1680" windowHeight="820" tabRatio="940" activeSheetId="14"/>
    <customWorkbookView name="Costanza, Cathy - Personal View" guid="{CEADB72A-7887-4B20-A805-341AC15D1AF6}" mergeInterval="0" personalView="1" maximized="1" xWindow="1" yWindow="1" windowWidth="1676" windowHeight="788" tabRatio="940" activeSheetId="29"/>
    <customWorkbookView name="dt59590 - Personal View" guid="{4EA18D11-1945-4514-A34A-2AE536BEAD03}" mergeInterval="0" personalView="1" maximized="1" xWindow="1" yWindow="1" windowWidth="1676" windowHeight="820" tabRatio="940" activeSheetId="23"/>
    <customWorkbookView name="McVay, Tabatha A - Personal View" guid="{D5787FBD-8C1C-44B6-87C7-2E30D6882D21}" mergeInterval="0" personalView="1" maximized="1" xWindow="1" yWindow="1" windowWidth="1582" windowHeight="830" tabRatio="940" activeSheetId="7"/>
    <customWorkbookView name="CS1C - Personal View" guid="{40C62A5E-AACC-42CD-AA4F-0238C2F5366A}" mergeInterval="0" personalView="1" maximized="1" xWindow="1" yWindow="1" windowWidth="1680" windowHeight="774" tabRatio="940" activeSheetId="8"/>
    <customWorkbookView name="cjgn - Personal View" guid="{9C0A1F9C-262E-4824-B632-DF30C540BD82}" mergeInterval="0" personalView="1" maximized="1" xWindow="1" yWindow="1" windowWidth="1676" windowHeight="820" tabRatio="940" activeSheetId="32"/>
    <customWorkbookView name="CAXY - Personal View" guid="{76F184F3-DB44-41DA-B2AE-B2E091F644E7}" mergeInterval="0" personalView="1" maximized="1" xWindow="1" yWindow="1" windowWidth="1920" windowHeight="959" tabRatio="940" activeSheetId="32"/>
    <customWorkbookView name="CEBL - Personal View" guid="{D0145E67-A2DD-4046-A916-FBEF8CD60571}" mergeInterval="0" personalView="1" maximized="1" xWindow="1" yWindow="1" windowWidth="1676" windowHeight="820" tabRatio="940" activeSheetId="2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64" l="1"/>
  <c r="C5" i="64"/>
  <c r="C4" i="64"/>
  <c r="C3" i="64"/>
  <c r="A2" i="64"/>
  <c r="C7" i="64" l="1"/>
  <c r="C8" i="64" s="1"/>
  <c r="A2" i="39" l="1"/>
  <c r="A2" i="53" l="1"/>
  <c r="C4" i="39"/>
  <c r="F21" i="39"/>
  <c r="D16" i="39"/>
  <c r="E16" i="39"/>
  <c r="G18" i="39"/>
  <c r="C23" i="39"/>
  <c r="F18" i="39"/>
  <c r="D17" i="39"/>
  <c r="D25" i="39"/>
  <c r="F16" i="39"/>
  <c r="E24" i="39"/>
  <c r="G19" i="39"/>
  <c r="D19" i="39"/>
  <c r="C24" i="39"/>
  <c r="G21" i="39"/>
  <c r="E25" i="39"/>
  <c r="C16" i="39"/>
  <c r="F25" i="39"/>
  <c r="C18" i="39"/>
  <c r="E23" i="39"/>
  <c r="D21" i="39"/>
  <c r="F24" i="39"/>
  <c r="G17" i="39"/>
  <c r="F23" i="39"/>
  <c r="G20" i="39"/>
  <c r="C20" i="39"/>
  <c r="G22" i="39"/>
  <c r="C21" i="39"/>
  <c r="D24" i="39"/>
  <c r="E20" i="39"/>
  <c r="E17" i="39"/>
  <c r="F19" i="39"/>
  <c r="D20" i="39"/>
  <c r="E18" i="39"/>
  <c r="F17" i="39"/>
  <c r="C19" i="39"/>
  <c r="C25" i="39"/>
  <c r="C17" i="39"/>
  <c r="C22" i="39"/>
  <c r="E22" i="39"/>
  <c r="F22" i="39"/>
  <c r="E21" i="39"/>
  <c r="D22" i="39"/>
  <c r="D23" i="39"/>
  <c r="D18" i="39"/>
  <c r="E19" i="39"/>
  <c r="F20" i="39"/>
  <c r="H22" i="39" l="1"/>
  <c r="C6" i="39"/>
  <c r="C8" i="39"/>
  <c r="H20" i="39"/>
  <c r="H17" i="39"/>
  <c r="H19" i="39"/>
  <c r="H18" i="39"/>
  <c r="C9" i="39"/>
  <c r="H21" i="39"/>
  <c r="C7" i="39"/>
  <c r="G24" i="39"/>
  <c r="G25" i="39"/>
  <c r="G16" i="39"/>
  <c r="G23" i="39"/>
  <c r="H25" i="39" l="1"/>
  <c r="H24" i="39"/>
  <c r="H23" i="39"/>
  <c r="C10" i="39"/>
  <c r="C13" i="39" s="1"/>
  <c r="H16" i="39"/>
  <c r="C12" i="39"/>
  <c r="C11" i="39"/>
</calcChain>
</file>

<file path=xl/sharedStrings.xml><?xml version="1.0" encoding="utf-8"?>
<sst xmlns="http://schemas.openxmlformats.org/spreadsheetml/2006/main" count="196" uniqueCount="162">
  <si>
    <t xml:space="preserve">All of the information on this page constitutes a trade secret, privileged or confidential information, as such terms are </t>
  </si>
  <si>
    <t># Written</t>
  </si>
  <si>
    <t># Passed</t>
  </si>
  <si>
    <t># Failed</t>
  </si>
  <si>
    <t># N/A</t>
  </si>
  <si>
    <t># Complete</t>
  </si>
  <si>
    <t>Passed Percentage</t>
  </si>
  <si>
    <t>Failed Percentage</t>
  </si>
  <si>
    <t>Total Percentage</t>
  </si>
  <si>
    <t>Percentage</t>
  </si>
  <si>
    <t>Comments</t>
  </si>
  <si>
    <t>T1</t>
  </si>
  <si>
    <t>EXAMPLE 1</t>
  </si>
  <si>
    <t>T2</t>
  </si>
  <si>
    <t>EXAMPLE 2</t>
  </si>
  <si>
    <t>T3</t>
  </si>
  <si>
    <t>EXAMPLE 3</t>
  </si>
  <si>
    <t>T4</t>
  </si>
  <si>
    <t>EXAMPLE 4</t>
  </si>
  <si>
    <t>T5</t>
  </si>
  <si>
    <t>EXAMPLE 5</t>
  </si>
  <si>
    <t>T6</t>
  </si>
  <si>
    <t>EXAMPLE 6</t>
  </si>
  <si>
    <t>T7</t>
  </si>
  <si>
    <t>EXAMPLE 7</t>
  </si>
  <si>
    <t>T8</t>
  </si>
  <si>
    <t>EXAMPLE 8</t>
  </si>
  <si>
    <t>T9</t>
  </si>
  <si>
    <t>EXAMPLE 9</t>
  </si>
  <si>
    <t>T10</t>
  </si>
  <si>
    <t>EXAMPLE 10</t>
  </si>
  <si>
    <t>Defects: Ticket #/Description</t>
  </si>
  <si>
    <t>[DO NOT POPULATE, ALTER, OR REMOVE THESE COLUMNS BELOW]</t>
  </si>
  <si>
    <t>Date Opened</t>
  </si>
  <si>
    <t>Status</t>
  </si>
  <si>
    <t>Project/Ticket</t>
  </si>
  <si>
    <t>Test Phase</t>
  </si>
  <si>
    <t>DR2</t>
  </si>
  <si>
    <t>Release</t>
  </si>
  <si>
    <t>Author</t>
  </si>
  <si>
    <t>Date Written</t>
  </si>
  <si>
    <t>Total Tests</t>
  </si>
  <si>
    <t xml:space="preserve"> </t>
  </si>
  <si>
    <t>Pass</t>
  </si>
  <si>
    <t>Fail</t>
  </si>
  <si>
    <t>N/A</t>
  </si>
  <si>
    <t>Total Tested</t>
  </si>
  <si>
    <t>Complete</t>
  </si>
  <si>
    <t>Count</t>
  </si>
  <si>
    <t>BRD Ref</t>
  </si>
  <si>
    <t xml:space="preserve"> Test Case #</t>
  </si>
  <si>
    <t>Test Description</t>
  </si>
  <si>
    <t>Test Scenarios</t>
  </si>
  <si>
    <t xml:space="preserve">Expected Results
</t>
  </si>
  <si>
    <t>Test Data</t>
  </si>
  <si>
    <t>Test Output</t>
  </si>
  <si>
    <t>JSON Input Request</t>
  </si>
  <si>
    <t>Tester</t>
  </si>
  <si>
    <t>Pass/Fail</t>
  </si>
  <si>
    <t>MT #</t>
  </si>
  <si>
    <t>Test Execution Date</t>
  </si>
  <si>
    <t>1
Test count for current Tab</t>
  </si>
  <si>
    <t>3828R1.1
Project/Ticket Requirement being tested or REG</t>
  </si>
  <si>
    <t>T1.2.3
1 = Tab number
2 = Test Description #
3 = Test Scenario #</t>
  </si>
  <si>
    <t>Summary of what is being tested.</t>
  </si>
  <si>
    <t>Test Scenario - Detailed description of what is being tested.
This is the ACTION performed to complete test scenario (ex. Submit, Run, Generate, Review, Process etc).</t>
  </si>
  <si>
    <t xml:space="preserve">Expected Results - Detailed description of the accepted outcome for each test scenario.
</t>
  </si>
  <si>
    <t xml:space="preserve">Test Data - The specific data YOU used to perform each test scenario.
Ex. Table names and data, Customer, Member, etc.
</t>
  </si>
  <si>
    <t>Test Output - What is generated as a result of the performed test, if applicable.
Ex. Claim #, File name, Auth #, Druglist, etc.</t>
  </si>
  <si>
    <t>Pass
Fail
N/A</t>
  </si>
  <si>
    <t xml:space="preserve">MT # - </t>
  </si>
  <si>
    <t>Kranthi Kondaveeti</t>
  </si>
  <si>
    <t xml:space="preserve">Test Counts </t>
  </si>
  <si>
    <t>TC1</t>
  </si>
  <si>
    <t>ADJCPE - 4367 - Write test cases for Nx Transactions</t>
  </si>
  <si>
    <t>03/JUN/2024</t>
  </si>
  <si>
    <t>Claim Submitted with 10-Pay Status.</t>
  </si>
  <si>
    <t>Validate N1 transaction, if required fields are not populated in the given N1 transaction input request..</t>
  </si>
  <si>
    <r>
      <t xml:space="preserve">Pre-requisite:
-------------------
1. </t>
    </r>
    <r>
      <rPr>
        <b/>
        <sz val="9"/>
        <rFont val="Arial"/>
        <family val="2"/>
      </rPr>
      <t xml:space="preserve">Create a Part D member with these values (Part D program and Part D Sequence) in Details Tab. </t>
    </r>
    <r>
      <rPr>
        <sz val="9"/>
        <rFont val="Arial"/>
        <family val="2"/>
      </rPr>
      <t xml:space="preserve">
Then submit a Part D B1 claim with below details.
 - BIN
 - PCN
 - Service Provider ID
 - Date of service
 - Cardholder ID
 - Rx/Service referrence number
 - Product ID
</t>
    </r>
  </si>
  <si>
    <t>TC1.4</t>
  </si>
  <si>
    <t>Return the reject code 770 and attach these rejected N2 transaction to the matching Bx claim.</t>
  </si>
  <si>
    <t xml:space="preserve"> - Reject the N2 transaction with the reject code 769.
 - Reversal is not Processed</t>
  </si>
  <si>
    <r>
      <t xml:space="preserve">Submit a N2 Transaction along with the below field in N2 Transaction input request.
 - 880-K5 Transaction reference number 
If exact match for N1 transaction is found with </t>
    </r>
    <r>
      <rPr>
        <b/>
        <sz val="9"/>
        <rFont val="Arial"/>
        <family val="2"/>
      </rPr>
      <t>Reversed status</t>
    </r>
  </si>
  <si>
    <r>
      <t xml:space="preserve">Submit a N2 Transaction along with the below field in N2 Transaction input request.
 - 880-K5 Transaction reference number 
If exact match for N1 transaction is found with </t>
    </r>
    <r>
      <rPr>
        <b/>
        <sz val="9"/>
        <rFont val="Arial"/>
        <family val="2"/>
      </rPr>
      <t>Denied status</t>
    </r>
  </si>
  <si>
    <t>TC1.9</t>
  </si>
  <si>
    <t>TC1.8</t>
  </si>
  <si>
    <r>
      <t>Submit a N1 transaction with below details that should match with the existing B1 claim.
 - PCN
 - Service Provider ID
 -</t>
    </r>
    <r>
      <rPr>
        <b/>
        <sz val="9"/>
        <rFont val="Arial"/>
        <family val="2"/>
      </rPr>
      <t xml:space="preserve"> Date of service</t>
    </r>
    <r>
      <rPr>
        <sz val="9"/>
        <rFont val="Arial"/>
        <family val="2"/>
      </rPr>
      <t xml:space="preserve">
 - Cardholder ID
 -</t>
    </r>
    <r>
      <rPr>
        <b/>
        <sz val="9"/>
        <rFont val="Arial"/>
        <family val="2"/>
      </rPr>
      <t xml:space="preserve"> Rx/Service referrence number
 - Product ID</t>
    </r>
    <r>
      <rPr>
        <sz val="9"/>
        <rFont val="Arial"/>
        <family val="2"/>
      </rPr>
      <t xml:space="preserve">
</t>
    </r>
    <r>
      <rPr>
        <b/>
        <sz val="9"/>
        <rFont val="Arial"/>
        <family val="2"/>
      </rPr>
      <t xml:space="preserve">N1 </t>
    </r>
    <r>
      <rPr>
        <sz val="9"/>
        <rFont val="Arial"/>
        <family val="2"/>
      </rPr>
      <t>Transaction should match with the B1 claim.</t>
    </r>
  </si>
  <si>
    <r>
      <t>Submit a N1 transaction with below details that does not match with the existing B1 claim.
 - PCN
 - Service Provider ID
 -</t>
    </r>
    <r>
      <rPr>
        <b/>
        <sz val="9"/>
        <rFont val="Arial"/>
        <family val="2"/>
      </rPr>
      <t xml:space="preserve"> Date of service</t>
    </r>
    <r>
      <rPr>
        <sz val="9"/>
        <rFont val="Arial"/>
        <family val="2"/>
      </rPr>
      <t xml:space="preserve">
 - Cardholder ID
 -</t>
    </r>
    <r>
      <rPr>
        <b/>
        <sz val="9"/>
        <rFont val="Arial"/>
        <family val="2"/>
      </rPr>
      <t xml:space="preserve"> Rx/Service referrence number
 - Product ID</t>
    </r>
    <r>
      <rPr>
        <sz val="9"/>
        <rFont val="Arial"/>
        <family val="2"/>
      </rPr>
      <t xml:space="preserve">
</t>
    </r>
    <r>
      <rPr>
        <b/>
        <sz val="9"/>
        <rFont val="Arial"/>
        <family val="2"/>
      </rPr>
      <t xml:space="preserve">N1 </t>
    </r>
    <r>
      <rPr>
        <sz val="9"/>
        <rFont val="Arial"/>
        <family val="2"/>
      </rPr>
      <t>Transaction does not match with the B1 claim.</t>
    </r>
  </si>
  <si>
    <t>Request: 600428D0N118140001  1011639194236     20240125TROOP     |/AM04/C2000000020240061801\|/AM07/EM1/D22024013369/D302/E103/D700002751001/K50000000002|/AM11/DX00001900</t>
  </si>
  <si>
    <r>
      <t>Submit a N1 transaction with below details that does match with the existing B1 claim.
 - PCN
 - Service Provider ID
 -</t>
    </r>
    <r>
      <rPr>
        <b/>
        <sz val="9"/>
        <rFont val="Arial"/>
        <family val="2"/>
      </rPr>
      <t xml:space="preserve"> Date of service</t>
    </r>
    <r>
      <rPr>
        <sz val="9"/>
        <rFont val="Arial"/>
        <family val="2"/>
      </rPr>
      <t xml:space="preserve">
 - Cardholder ID
 -</t>
    </r>
    <r>
      <rPr>
        <b/>
        <sz val="9"/>
        <rFont val="Arial"/>
        <family val="2"/>
      </rPr>
      <t xml:space="preserve"> Rx/Service referrence number
 - Product ID</t>
    </r>
    <r>
      <rPr>
        <sz val="9"/>
        <rFont val="Arial"/>
        <family val="2"/>
      </rPr>
      <t xml:space="preserve">
</t>
    </r>
    <r>
      <rPr>
        <b/>
        <sz val="9"/>
        <rFont val="Arial"/>
        <family val="2"/>
      </rPr>
      <t xml:space="preserve">N1 </t>
    </r>
    <r>
      <rPr>
        <sz val="9"/>
        <rFont val="Arial"/>
        <family val="2"/>
      </rPr>
      <t>Transaction does match with the B1 claim.</t>
    </r>
  </si>
  <si>
    <t>Associate the N1 claim matched with B1 claim and Send the accepted response for N1 Paid claim.</t>
  </si>
  <si>
    <t>Request:  600428D0N118140001  1011639194236     20240326TROOP     |/AM04/C2000000020240061801\|/AM07/EM1/D220240120299/D302/E103/D744087400000/K50000000002|/AM11/DX00001900</t>
  </si>
  <si>
    <t>N1 Transaction does not match B1 claim. Reject N1 Transaction with SSC Error Code 251 - No B1 PART D MATCH and Additional Message No Valid B1. 
NCPDP Reject Code 607 INFO RPTING TRANS CANNOT BE MATCHD</t>
  </si>
  <si>
    <t xml:space="preserve">Submit a N2 Transaction along with the below field in N2 Transaction input request.
 - 880-K5 Transaction reference number 
If exact match found for N1 claim then accept N2 reversal </t>
  </si>
  <si>
    <t>Request: 600428D0N218140001  1011639194236     20240125TROOP     |/AM04/C2000000020240061801\|/AM07/EM1/D220240120299/D302/E103/D744087400000/K50000000002</t>
  </si>
  <si>
    <t>TC2.1</t>
  </si>
  <si>
    <t>TC2.2</t>
  </si>
  <si>
    <t>TC2.3</t>
  </si>
  <si>
    <t>TC2.4</t>
  </si>
  <si>
    <t xml:space="preserve"> - Reject the N2 transaction with the reject code 769.
 - Additional Message "Reversal is not Processed"</t>
  </si>
  <si>
    <r>
      <t xml:space="preserve">Submit a N2 Transaction along with the below field in N2 Transaction input request.
 - 880-K5 Transaction reference number (10bytes)
If exact match for N1 transaction is found with </t>
    </r>
    <r>
      <rPr>
        <b/>
        <sz val="9"/>
        <rFont val="Arial"/>
        <family val="2"/>
      </rPr>
      <t>Rejected</t>
    </r>
    <r>
      <rPr>
        <sz val="9"/>
        <rFont val="Arial"/>
        <family val="2"/>
      </rPr>
      <t xml:space="preserve"> status</t>
    </r>
  </si>
  <si>
    <t xml:space="preserve">Submit a N1 transaction with below details that should match with the existing B1 claim.
 - PCN
 - Service Provider ID
 - Date of service
 - Cardholder ID
 - Rx/Service referrence number
 - Product ID
If exact match for N1 transaction found with Transaction reference number. Then </t>
  </si>
  <si>
    <t>B1 Claim # 245780003771 (10PWE)
N1 Transaction #1  245780007911 (62PAY)
N1 Transaction #2 (Duplicate) 245780007931 (63DNI) with Error 023 Duplicate Claim FND 245780007911</t>
  </si>
  <si>
    <t>Customer: 1814/1
Group ID: NXTRANSACTION
Cardholder: 000000020240061801</t>
  </si>
  <si>
    <t xml:space="preserve"> - Reject the N2 transaction with the reject code 769.
 - Reversal is not Processed
</t>
  </si>
  <si>
    <t>Reject N2 Transaction with Reject code 209 Pricing Segment Is Not Used For This Transaction Code and Reject code 87 Reversal Not Processed. 
Message Response:  BASE EDIT ERROR</t>
  </si>
  <si>
    <t>{
    "headerResponse": {
        "versionReleaseNumber": "D0",
        "transactionCode": "N2",
        "transactionCount": "1",
        "headerResponseStatus": "R",
        "serviceProviderIdQualifier": "01",
        "serviceProviderId": "1639194236",
        "dateOfService": "20240711"
    },
    "messageResponse": {
        "message": "BASE EDIT ERROR"
    },
    "insuranceResponse": {
        "cardHolderId": "000000020240061801"
    },
    "statusResponse": {
        "transactionResponseStatus": "R",
        "rejectCount": 2,
        "rejectCodes": [
            {
                "codes": [
                    "209"
                ]
            },
            {
                "codes": [
                    "87"
                ]
            }
        ],
        "additionalMessageInformationCount": 0,
        "additionalMessageInformation": []
    },
    "claimResponse": {
        "serviceRefNumberQlfr": "1",
        "serviceRefNumber": 202406240012
    },
    "errorCodes": [
        {
            "codes": [
                "209"
            ]
        },
        {
            "codes": [
                "87"
            ]
        }
    ]
}</t>
  </si>
  <si>
    <t>{
    "headerSegment": {
        "versionNumber": "D0",
        "transactionCode": "N2",
        "iinNumber": 600428,
        "pcn": "18140001",
        "transactionCount": 1,
        "serviceProviderIdQualifier": "01",
        "serviceProviderId": "1639194236",
        "dateOfService": "20240711",
        "softwareVendorCertificationId": "TROOP"
    },
    "insuranceSegment": {
        "cardHolderId": "000000020240061801",
        "cardHolderFirstName": "SANFRANCISCO",
        "cardHolderLastName": "CALIFORNIA",
        "groupId": "NXTRANSACTION"
    },
    "claimSegment": {
        "serviceRefNumberQlfr": "1",
        "serviceRefNumber": 202406240012,
        "transactionReferenceNumber": 202406240012,
        "productIdQlfr": "03",
        "productId": "55111015810",
        "fillNumber": 0
    }
}</t>
  </si>
  <si>
    <t>TVR</t>
  </si>
  <si>
    <t>Asked LD about these</t>
  </si>
  <si>
    <t>Found in medicare part D page 16; If the matching B transaction (Bx) was submitted under the Part D BIN/PCN, then return reject code 769 and attach the rejected N2 to the most recent matching Paid B transaction (Bx)</t>
  </si>
  <si>
    <t>Associate the N1 claim matched with B1 claim and send the accept response for N1 Paid claim.</t>
  </si>
  <si>
    <t>B1 Claim Submitted and processed with 10-Pay Status.</t>
  </si>
  <si>
    <t xml:space="preserve"> - Accept the N2 Transaction the claim status will be 
 - The claim status on the N1 claim 1 will updated to 62PAY
 - The CICS status on the N1 claim 2 (exact duplicate) will be 63DNI. 
</t>
  </si>
  <si>
    <t>Paid Info Only N1 Transaction (62-PAY)</t>
  </si>
  <si>
    <t>N1 Transaction #245760011611 (62-PAY)
Associated Claim ID 245760005861 (B1)
and
N1 Transaction:  245760011611</t>
  </si>
  <si>
    <t>{
       "headerSegment": {
        "versionNumber": "D0",
        "transactionCode": "B1",
        "iinNumber": 600428,
        "pcn": "18140001",
        "transactionCount": 1,
        "serviceProviderIdQualifier": "01",
        "serviceProviderId": "1639194236",
        "dateOfService": "20240611",
        "softwareVendorCertificationId": "SOFTWARE99"
   },
    "insuranceSegment": {
        "cardHolderId": "000000020240061801",
        "cardHolderFirstName": "SANFRANCISCO",
        "cardHolderLastName": "CALIFORNIA",
        "groupId": "NXTRANSACTION"
    },
    "claimSegment": {
        "serviceRefNumberQlfr": "1",
        "serviceRefNumber": 202406240011,
        "transactionReferenceNumber": 202406240011,
        "productIdQlfr": "03",
        "productId": "55111015810",
        "quantityDispensed": 60.000,
        "fillNumber": 0,
        "daysSupply": 10,
        "compoundCode": 1,
        "dawSelectionCode": "0",
        "prescriptionWrittenDate": 20240101,
        "numOfRefillsAuthorized": 10,
        "prescriptionOriginCode": 3
    },
    "pricingSegment": {
        "submittedIngredientCost": 135.00,
        "submittedDispensingFee": 0.00,
        "usualAndCustomaryCharge": 0.00,
        "grossAmountDue": 135.00
    }
}</t>
  </si>
  <si>
    <r>
      <t>Response: D0N11</t>
    </r>
    <r>
      <rPr>
        <b/>
        <sz val="9"/>
        <rFont val="Arial"/>
        <family val="2"/>
      </rPr>
      <t>R</t>
    </r>
    <r>
      <rPr>
        <sz val="9"/>
        <rFont val="Arial"/>
        <family val="2"/>
      </rPr>
      <t>011639194236     20240125|/AM25/C2000000020240061801\|/AM21/</t>
    </r>
    <r>
      <rPr>
        <b/>
        <sz val="9"/>
        <color rgb="FFC00000"/>
        <rFont val="Arial"/>
        <family val="2"/>
      </rPr>
      <t>ANR</t>
    </r>
    <r>
      <rPr>
        <sz val="9"/>
        <rFont val="Arial"/>
        <family val="2"/>
      </rPr>
      <t>/F3</t>
    </r>
    <r>
      <rPr>
        <b/>
        <sz val="9"/>
        <color rgb="FFC00000"/>
        <rFont val="Arial"/>
        <family val="2"/>
      </rPr>
      <t>245800003781</t>
    </r>
    <r>
      <rPr>
        <sz val="9"/>
        <rFont val="Arial"/>
        <family val="2"/>
      </rPr>
      <t>/FA01/FB251/UF01/UH01/</t>
    </r>
    <r>
      <rPr>
        <sz val="9"/>
        <color rgb="FFC00000"/>
        <rFont val="Arial"/>
        <family val="2"/>
      </rPr>
      <t>FQNO VALID B1</t>
    </r>
    <r>
      <rPr>
        <sz val="9"/>
        <rFont val="Arial"/>
        <family val="2"/>
      </rPr>
      <t>\|/AM22\</t>
    </r>
  </si>
  <si>
    <r>
      <t>Response: D0N11</t>
    </r>
    <r>
      <rPr>
        <b/>
        <sz val="9"/>
        <rFont val="Arial"/>
        <family val="2"/>
      </rPr>
      <t>A</t>
    </r>
    <r>
      <rPr>
        <sz val="9"/>
        <rFont val="Arial"/>
        <family val="2"/>
      </rPr>
      <t>011639194236     20240326|/</t>
    </r>
    <r>
      <rPr>
        <b/>
        <sz val="9"/>
        <rFont val="Arial"/>
        <family val="2"/>
      </rPr>
      <t>AM25</t>
    </r>
    <r>
      <rPr>
        <sz val="9"/>
        <rFont val="Arial"/>
        <family val="2"/>
      </rPr>
      <t>/C1NXTRANSACTION/C2000000020240061801\|/</t>
    </r>
    <r>
      <rPr>
        <b/>
        <sz val="9"/>
        <rFont val="Arial"/>
        <family val="2"/>
      </rPr>
      <t>AM21</t>
    </r>
    <r>
      <rPr>
        <sz val="9"/>
        <rFont val="Arial"/>
        <family val="2"/>
      </rPr>
      <t>/</t>
    </r>
    <r>
      <rPr>
        <sz val="9"/>
        <color rgb="FFC00000"/>
        <rFont val="Arial"/>
        <family val="2"/>
      </rPr>
      <t>AN</t>
    </r>
    <r>
      <rPr>
        <b/>
        <sz val="9"/>
        <color rgb="FFC00000"/>
        <rFont val="Arial"/>
        <family val="2"/>
      </rPr>
      <t>A</t>
    </r>
    <r>
      <rPr>
        <sz val="9"/>
        <rFont val="Arial"/>
        <family val="2"/>
      </rPr>
      <t>/F3</t>
    </r>
    <r>
      <rPr>
        <b/>
        <sz val="9"/>
        <color rgb="FFC00000"/>
        <rFont val="Arial"/>
        <family val="2"/>
      </rPr>
      <t>245800004511</t>
    </r>
    <r>
      <rPr>
        <sz val="9"/>
        <rFont val="Arial"/>
        <family val="2"/>
      </rPr>
      <t>/UF00\|/</t>
    </r>
    <r>
      <rPr>
        <b/>
        <sz val="9"/>
        <rFont val="Arial"/>
        <family val="2"/>
      </rPr>
      <t>AM22</t>
    </r>
    <r>
      <rPr>
        <sz val="9"/>
        <rFont val="Arial"/>
        <family val="2"/>
      </rPr>
      <t>\|/AM23/F50000000{/F60522380{/F70000120{/F90518611{/FI0002039E/4U0000000{\|/AM24\</t>
    </r>
  </si>
  <si>
    <r>
      <t>Response: D0</t>
    </r>
    <r>
      <rPr>
        <b/>
        <sz val="9"/>
        <color rgb="FFC00000"/>
        <rFont val="Arial"/>
        <family val="2"/>
      </rPr>
      <t>N2</t>
    </r>
    <r>
      <rPr>
        <sz val="9"/>
        <rFont val="Arial"/>
        <family val="2"/>
      </rPr>
      <t>1</t>
    </r>
    <r>
      <rPr>
        <b/>
        <sz val="9"/>
        <color rgb="FFC00000"/>
        <rFont val="Arial"/>
        <family val="2"/>
      </rPr>
      <t>A</t>
    </r>
    <r>
      <rPr>
        <sz val="9"/>
        <rFont val="Arial"/>
        <family val="2"/>
      </rPr>
      <t>011639194236     20240125|/AM25/C2000000020240061801\|/AM21/</t>
    </r>
    <r>
      <rPr>
        <b/>
        <sz val="9"/>
        <color rgb="FFC00000"/>
        <rFont val="Arial"/>
        <family val="2"/>
      </rPr>
      <t>ANP</t>
    </r>
    <r>
      <rPr>
        <sz val="9"/>
        <rFont val="Arial"/>
        <family val="2"/>
      </rPr>
      <t>/F3245800003811/UF00\|/AM22\|/AM23/F50000000{/F60000000{/F70000000{/FL0000000{/F90000000{/FI0000000{/NZ0000000{\</t>
    </r>
  </si>
  <si>
    <r>
      <t>Response:  D0B11</t>
    </r>
    <r>
      <rPr>
        <b/>
        <sz val="8"/>
        <rFont val="Calibri"/>
        <family val="2"/>
      </rPr>
      <t>A</t>
    </r>
    <r>
      <rPr>
        <sz val="8"/>
        <rFont val="Calibri"/>
        <family val="2"/>
      </rPr>
      <t>011639194236     20240326|/AM25/C1NXTRANSACTION/2FNET=1/C2000000020240061801|/AM29/CASANFRANCISCO/CBCALIFORNIA/C419550505\|/AM21/</t>
    </r>
    <r>
      <rPr>
        <b/>
        <sz val="8"/>
        <rFont val="Calibri"/>
        <family val="2"/>
      </rPr>
      <t>ANP</t>
    </r>
    <r>
      <rPr>
        <sz val="8"/>
        <rFont val="Calibri"/>
        <family val="2"/>
      </rPr>
      <t>/F3</t>
    </r>
    <r>
      <rPr>
        <sz val="8"/>
        <color rgb="FFC00000"/>
        <rFont val="Calibri"/>
        <family val="2"/>
      </rPr>
      <t>245770013461</t>
    </r>
    <r>
      <rPr>
        <sz val="8"/>
        <rFont val="Calibri"/>
        <family val="2"/>
      </rPr>
      <t>/UF01/UH01|/AM22/EM1/D220240120299|/AM23/F50002039E/F60522380{/F70000120{/FL0000000{/F90520460E/FI0002039E/NZ0000000{/MU2/MV03/MW0008157I/MV04/MW0514342A</t>
    </r>
  </si>
  <si>
    <t>B1 Claim Billing  245770013461</t>
  </si>
  <si>
    <t xml:space="preserve">N1 Transaction 245800003781 does not match existing B1 Claim 245770013461  </t>
  </si>
  <si>
    <t xml:space="preserve">N2 Reversal Accepted. </t>
  </si>
  <si>
    <t xml:space="preserve">Why are we showing as Accepted/Paid in the response? This follows JSON response for N2. And no FQ Reversal Accepted. </t>
  </si>
  <si>
    <t>REQUEST: 600428D0B118140001  1011639194236     20240326SOFTWARE99|/AM01/C419550505/C51/CASANFRANCISCO/CBCALIFORNIA|/AM04/C2000000020240061801/CCSANFRANCISCO/CDCALIFORNIA|/AM03/EZ01/DB1164629218|/AM07/EM1/D220240120299/E103/D744087400000/E75000/D302/D510/D61/D80/DF99/DE20240326|/AM11/D95225000/DC0/DQ5225000/DU5225000</t>
  </si>
  <si>
    <t xml:space="preserve">N1 Transaction matches the B1 Claim Billing in this test case. 
AM22/EM1/D220240120299 should not send back the AM23 segment. Not required on the N2 Request. </t>
  </si>
  <si>
    <t>JSON RESPONSE</t>
  </si>
  <si>
    <r>
      <rPr>
        <b/>
        <sz val="9"/>
        <rFont val="Arial"/>
        <family val="2"/>
      </rPr>
      <t>B1 Claim #245760005861 (10PWE)</t>
    </r>
    <r>
      <rPr>
        <sz val="9"/>
        <rFont val="Arial"/>
        <family val="2"/>
      </rPr>
      <t xml:space="preserve">
ACR 
Associated Claim ID 245760005861 
and
Claim ID 245760011611 - Paid Info Only N1 Transaction (62-PAY)</t>
    </r>
  </si>
  <si>
    <r>
      <t xml:space="preserve">{
    "claimId": </t>
    </r>
    <r>
      <rPr>
        <b/>
        <sz val="8"/>
        <rFont val="Arial"/>
        <family val="2"/>
      </rPr>
      <t>245760005861</t>
    </r>
    <r>
      <rPr>
        <sz val="8"/>
        <rFont val="Arial"/>
        <family val="2"/>
      </rPr>
      <t>,
    "headerResponse": {
        "versionReleaseNumber": "D0",
        "transactionCode": "B1",
        "transactionCount": "1",
        "headerResponseStatus": "A",
        "serviceProviderIdQualifier": "01",
        "serviceProviderId": "1639194236",
        "dateOfService": "20240611"
    },
    "insuranceResponse": {
        "groupId": "NXTRANSACTION",
        "networkReimbursementId": "NET=1",
        "cardHolderId": "000000020240061801"
    },
    "statusResponse": {
        "transactionResponseStatus": "P",
        "authorizationNumber": "245760005861",
        "additionalMessageInformationCount": 1,
        "additionalMessageInformation": [
            {
                "additionalMessageInformationQualifier": "01",
                "additionalMessageInformation": null,
                "additionalMessageInformationContinuity": null
            }
        ]
    },
    "claimResponse": {
        "serviceRefNumberQlfr": "1",
        "serviceRefNumber": 202406240011
    },
    "prescriberAdjResponse": {
        "prescriberComponentId": 398,
        "prescriberComponentDetailsId": 670,
        "externalDrugScheduleCode": "0"
    },
    "durOrPPSResponse": {
        "segmentIdentification": null,
        "durppsServiceDetails": []
    },
    "pricingResponse": {
        "basisOfReimbursementDetermination": null,
        "segmentIdentification": null,
        "patientPayAmount": 33.75,
        "ingredientCostPaid": 123,
        "dispensingFeePaid": 12,
        "taxExemptIndicator": null,
        "flatSalesTaxAmountPaid": null,
        "percentageSalesTaxAmountPaid": null,
        "percentageSalesTaxRatePaid": null,
        "percentageSalesTaxBasisPaid": null,
        "incentiveAmountPaid": 0,
        "professionalServiceFeePaid": null,
        "otherAmountPaidCount": null,
        "otherAmountsPaid": null,
        "otherPayerAmountRecognized": null,
        "totalAmountPaid": 101.25,
        "amountAttributedToSalesTax": null,
        "accumulatedDeductibleAmount": null,
        "remainingDeductibleAmount": null,
        "remainingBenefitAmount": null,
        "amountAppliedToPeriodicDeductible": null,
        "amountofCopay": 33.75,
        "amountExceedingPeriodicBenefitMaximum": null,
        "basisOfCalculationDispensingFee": null,
        "basisOfCalculationCopay": null,
        "basisOfCalculationFlatSalesTax": null,
        "basisOfCalculationPercentageSalesTax": null,
        "amountAttributedToProcessorFee": 0,
        "patientSalesTaxAmount": null,
        "planSalesTaxAmount": null,
        "amountOfCoinsurance": null,
        "basisOfCalculationCoinsurance": null,
        "benefitStageCount": 1,
        "benefitStageDetails": [
            {
                "benefitStageQualifier": "02",
                "benefitStageAmount": 135
            }
        ],
        "estimatedGenericSavings": null,
        "spendingAccountAmountRemaining": null,
        "healthPlanFundedAssistanceAmount": null,
        "amtAttrToProviderNetworkSelection": null,
        "amtAttrToProdSelectionOrBrandDrug": null,
        "amtAttrToProdSelectionOrFormularySelection": null,
        "amtAttrToProdSelectionOrBrandFormularySelection": null,
        "amtAttrToCoverageGap": null,
        "ingredientCostContractedOrReimbursableAmount": null,
        "dispensingFeeContractedOrReimbursableAmount": null
    }
}</t>
    </r>
  </si>
  <si>
    <r>
      <t xml:space="preserve">{
    "headerSegment": {
        "versionNumber": "D0",
        "transactionCode": "N2",
        "iinNumber": 600428,
        "pcn": "18140001",
        "transactionCount": 1,
        "serviceProviderIdQualifier": "01",
        "serviceProviderId": "1639194236",
        "dateOfService": "20240711",
        "softwareVendorCertificationId": "TROOP"
    },
    "insuranceSegment": {
        "cardHolderId": "000000020240061801",
        "cardHolderFirstName": "SANFRANCISCO",
        "cardHolderLastName": "CALIFORNIA",
        "groupId": "NXTRANSACTION"
    },
    "claimSegment": {
        "serviceRefNumberQlfr": "1",
        "serviceRefNumber": 202406240012,
        "transactionReferenceNumber": 202406240012,
        "productIdQlfr": "03",
        "productId": "55111015810",
        "fillNumber": 0
    },
   </t>
    </r>
    <r>
      <rPr>
        <sz val="7"/>
        <color rgb="FFC00000"/>
        <rFont val="Arial"/>
        <family val="2"/>
      </rPr>
      <t xml:space="preserve"> "pricingSegment": {
    "patientPaidAmountSubmitted": 33.75,
    "reportedPatientPay" : 20.00
    }
}</t>
    </r>
  </si>
  <si>
    <t xml:space="preserve">Submit a N2 Transaction along with the below field in N2 Transaction input request.
 - 880-K5 Transaction reference number 
-  Pricing segment iis not submitted 
</t>
  </si>
  <si>
    <r>
      <t xml:space="preserve">Pre-requisite:  Create a B1 Claim (Paid)
No Matching N1 TransactionSubmit a N2 Transaction along with the below field in N2 Transaction input request.
 - 880-K5 Transaction reference number.
If the Paid N1 transaction is not found using Transaction referrence number, then perform the a secondary match using the following fields from the N2 transaction
 - Rx/Service Reference Number
 - </t>
    </r>
    <r>
      <rPr>
        <b/>
        <sz val="9"/>
        <rFont val="Arial"/>
        <family val="2"/>
      </rPr>
      <t>Service Provider ID (Pharmacy ID)</t>
    </r>
    <r>
      <rPr>
        <sz val="9"/>
        <rFont val="Arial"/>
        <family val="2"/>
      </rPr>
      <t xml:space="preserve">
 - Date of Service
 - </t>
    </r>
    <r>
      <rPr>
        <b/>
        <sz val="9"/>
        <rFont val="Arial"/>
        <family val="2"/>
      </rPr>
      <t>Fill Number
 - Other Payer BIN
 - Other Payer PCN</t>
    </r>
    <r>
      <rPr>
        <sz val="9"/>
        <rFont val="Arial"/>
        <family val="2"/>
      </rPr>
      <t xml:space="preserve">
If the N1 transaction is not found, Then verify the matching Paid B1 claim.If a paid B1 claim is found that matches to the N2 reversal transaction, Then</t>
    </r>
  </si>
  <si>
    <t xml:space="preserve">Pre-Requisite (existing B1 Paid Claim)
Submit a N2 Transaction along with the below field in N2 Transaction input request.
 - 880-K5 Transaction reference number 
-  Pricing segment iis not allowed for N2 Transaction:  
Transaction will be rejected for BASE EDIT ERROR </t>
  </si>
  <si>
    <t xml:space="preserve">* Pre-Requisite (existing B1 Paid Claim)
Submit a N2 Transaction along with the below field in N2 Transaction input request.
 - 880-K5 Transaction reference number 
If exact match for N1 transaction is not found then check for matching Bx claim in Paid status. 
And if matching Bx is found with Paid status, Then check for the Bx claim is submitted under the Part D BIN/PCN. 
Then the matching Bx is not submitted under the Part D BIN/PCN then </t>
  </si>
  <si>
    <t>* Pre-Requisite (existing B1 Paid Claim)
Submit a N2 Transaction along with the below field in N2 Transaction input request.
 - 880-K5 Transaction reference number 
If exact match for N1 transaction is not found then check for matching Bx claim in Paid status. 
And if matching Bx is not found, Then</t>
  </si>
  <si>
    <t xml:space="preserve"> - Accept the N2 Transaction no hard error returned for pricing segment 
 - The claim status on the N1 62PAY
</t>
  </si>
  <si>
    <t xml:space="preserve">N2 Transaction 245780003201 </t>
  </si>
  <si>
    <t>{
    "claimId": 245780003201,
    "headerResponse": {
        "versionReleaseNumber": "D0",
        "transactionCode": "N2",
        "transactionCount": "1",
        "headerResponseStatus": "A",
        "serviceProviderIdQualifier": "01",
        "serviceProviderId": "1639194236",
        "dateOfService": "20240711"
    },
    "insuranceResponse": {
        "cardHolderId": "000000020240061801"
    },
    "statusResponse": {
        "transactionResponseStatus": "P",
        "authorizationNumber": "245780003201",
        "additionalMessageInformationCount": 0,
        "additionalMessageInformation": []
    },
    "claimResponse": {
        "serviceRefNumberQlfr": "1",
        "serviceRefNumber": 202406240012
    },
    "pricingResponse": {
        "basisOfReimbursementDetermination": null,
        "segmentIdentification": null,
        "patientPayAmount": 0,
        "ingredientCostPaid": 0,
        "dispensingFeePaid": 0,
        "taxExemptIndicator": null,
        "flatSalesTaxAmountPaid": null,
        "percentageSalesTaxAmountPaid": null,
        "percentageSalesTaxRatePaid": null,
        "percentageSalesTaxBasisPaid": null,
        "incentiveAmountPaid": 0,
        "professionalServiceFeePaid": null,
        "otherAmountPaidCount": null,
        "otherAmountsPaid": null,
        "otherPayerAmountRecognized": null,
        "totalAmountPaid": 0,
        "amountAttributedToSalesTax": null,
        "accumulatedDeductibleAmount": null,
        "remainingDeductibleAmount": null,
        "remainingBenefitAmount": null,
        "amountAppliedToPeriodicDeductible": null,
        "amountofCopay": 0,
        "amountExceedingPeriodicBenefitMaximum": null,
        "basisOfCalculationDispensingFee": null,
        "basisOfCalculationCopay": null,
        "basisOfCalculationFlatSalesTax": null,
        "basisOfCalculationPercentageSalesTax": null,
        "amountAttributedToProcessorFee": 0,
        "patientSalesTaxAmount": null,
        "planSalesTaxAmount": null,
        "amountOfCoinsurance": null,
        "basisOfCalculationCoinsurance": null,
        "benefitStageCount": null,
        "benefitStageDetails": null,
        "estimatedGenericSavings": null,
        "spendingAccountAmountRemaining": null,
        "healthPlanFundedAssistanceAmount": null,
        "amtAttrToProviderNetworkSelection": null,
        "amtAttrToProdSelectionOrBrandDrug": null,
        "amtAttrToProdSelectionOrFormularySelection": null,
        "amtAttrToProdSelectionOrBrandFormularySelection": null,
        "amtAttrToCoverageGap": null,
        "ingredientCostContractedOrReimbursableAmount": null,
        "dispensingFeeContractedOrReimbursableAmount": null
    }
}</t>
  </si>
  <si>
    <t>{
    "headerSegment": {
        "versionNumber": "D0",
        "transactionCode": "N1",
        "iinNumber": 600428,
        "pcn": "18140001",
        "transactionCount": 1,
        "serviceProviderIdQualifier": "01",
        "serviceProviderId": "1639194236",
        "dateOfService": "20240512",
        "softwareVendorCertificationId": "TROOP"
    },
    "insuranceSegment": {
        "cardHolderId": "000000020240061801",
        "cardHolderFirstName": "SANFRANCISCO",
        "cardHolderLastName": "CALIFORNIA",
        "groupId": "NXTRANSACTION",
        "otherPayerBinNumber" : 98765,
        "otherPayerProcessorControlNumber" : "92837465"
    },
    "claimSegment": {
        "serviceRefNumberQlfr": "1",
        "serviceRefNumber": 202406240088,
        "transactionReferenceNumber": 202406240088,
        "productIdQlfr": "03",
        "productId": "55111015810",
        "quantityDispensed": 60.000,
        "fillNumber": 0,
        "daysSupply": 10,
        "compoundCode": 1,
        "dawSelectionCode": "0",
        "prescriptionWrittenDate": 20240101,
        "numOfRefillsAuthorized": 10,
        "prescriptionOriginCode": 3
    },
    "pricingSegment": {
    "patientPaidAmountSubmitted": 37.75,
    "reportedPatientPay" : 20.00
   }
}</t>
  </si>
  <si>
    <r>
      <t xml:space="preserve">{
    "claimId": </t>
    </r>
    <r>
      <rPr>
        <b/>
        <sz val="9"/>
        <rFont val="Arial"/>
        <family val="2"/>
      </rPr>
      <t>245780007911</t>
    </r>
    <r>
      <rPr>
        <sz val="9"/>
        <rFont val="Arial"/>
        <family val="2"/>
      </rPr>
      <t>,
    "headerResponse": {
        "versionReleaseNumber": "D0",
        "transactionCode": "N1",
        "transactionCount": "1",
        "headerResponseStatus": "A",
        "serviceProviderIdQualifier": "01",
        "serviceProviderId": "1639194236",
        "dateOfService": "20240512"
    },
    "insuranceResponse": {
        "groupId": "NXTRANSACTION",
        "networkReimbursementId": "NET=1",
        "cardHolderId": "000000020240061801"
    },
    "statusResponse": {
        "transactionResponseStatus": "A",
        "authorizationNumber": "245780007911",
        "additionalMessageInformationCount": 0,
        "additionalMessageInformation": []
    },
    "claimResponse": {
        "serviceRefNumberQlfr": "1",
        "serviceRefNumber": 202406240088
    },
    "prescriberAdjResponse": {
        "npiPrescriberId": 0
    },
    "durOrPPSResponse": {
        "segmentIdentification": null,
        "durppsServiceDetails": []
    },
    "pricingResponse": {
        "basisOfReimbursementDetermination": null,
        "segmentIdentification": null,
        "patientPayAmount": 0,
        "ingredientCostPaid": 113.00,
        "dispensingFeePaid": 12.00,
        "taxExemptIndicator": null,
        "flatSalesTaxAmountPaid": null,
        "percentageSalesTaxAmountPaid": null,
        "percentageSalesTaxRatePaid": null,
        "percentageSalesTaxBasisPaid": null,
        "incentiveAmountPaid": null,
        "professionalServiceFeePaid": null,
        "otherAmountPaidCount": null,
        "otherAmountsPaid": null,
        "otherPayerAmountRecognized": null,
        "totalAmountPaid": 145.00,
        "amountAttributedToSalesTax": null,
        "accumulatedDeductibleAmount": null,
        "remainingDeductibleAmount": null,
        "remainingBenefitAmount": null,
        "amountAppliedToPeriodicDeductible": null,
        "amountofCopay": 0.00,
        "amountExceedingPeriodicBenefitMaximum": null,
        "basisOfCalculationDispensingFee": null,
        "basisOfCalculationCopay": null,
        "basisOfCalculationFlatSalesTax": null,
        "basisOfCalculationPercentageSalesTax": null,
        "amountAttributedToProcessorFee": null,
        "patientSalesTaxAmount": null,
        "planSalesTaxAmount": null,
        "amountOfCoinsurance": 0,
        "basisOfCalculationCoinsurance": null,
        "benefitStageCount": null,
        "benefitStageDetails": null,
        "estimatedGenericSavings": null,
        "spendingAccountAmountRemaining": null,
        "healthPlanFundedAssistanceAmount": null,
        "amtAttrToProviderNetworkSelection": null,
        "amtAttrToProdSelectionOrBrandDrug": null,
        "amtAttrToProdSelectionOrFormularySelection": null,
        "amtAttrToProdSelectionOrBrandFormularySelection": null,
        "amtAttrToCoverageGap": null,
        "ingredientCostContractedOrReimbursableAmount": null,
        "dispensingFeeContractedOrReimbursableAmount": null
    }
}</t>
    </r>
  </si>
  <si>
    <t>N1 Transaction #1  245780007911 (62PAY)</t>
  </si>
  <si>
    <t xml:space="preserve"> - The claim status on the N1 claim 1 will updated to 62PAY</t>
  </si>
  <si>
    <t>The N1 Transaction is accepted  (Duplicate) 245780007931 (63DNI) with Error 023 Duplicate Claim FND E19</t>
  </si>
  <si>
    <t>{
    "claimId": 245780007931,
    "headerResponse": {
        "versionReleaseNumber": "D0",
        "transactionCode": "N1",
        "transactionCount": "1",
        "headerResponseStatus": "R",
        "serviceProviderIdQualifier": "01",
        "serviceProviderId": "1639194236",
        "dateOfService": "20240512"
    },
    "insuranceResponse": {
        "groupId": "NXTRANSACTION",
        "networkReimbursementId": "NET=1",
        "cardHolderId": "000000020240061801"
    },
    "statusResponse": {
        "transactionResponseStatus": "R",
        "authorizationNumber": "245780007931",
        "rejectCount": 1,
        "rejectCodes": [
            {
                "codes": [
                    "023"
                ]
            }
        ],
        "additionalMessageInformationCount": 1,
        "additionalMessageInformation": [
            {
                "additionalMessageInformationQualifier": "01",
                "additionalMessageInformation": "DUPLICATE CLAIM FND (245780007911)      ",
                "additionalMessageInformationContinuity": null
            }
        ]
    },
    "claimResponse": {
        "serviceRefNumberQlfr": "1",
        "serviceRefNumber": 202406240088
    },
    "prescriberAdjResponse": {
        "npiPrescriberId": 0
    },
    "errorCodes": [
        {
            "codes": [
                "023"
            ]
        }
    ],
    "durOrPPSResponse": {
        "segmentIdentification": null,
        "durppsServiceDetails": []
    }
}</t>
  </si>
  <si>
    <r>
      <t xml:space="preserve">6/24/24: Talked with Srinivas Nelluri regarding this issue. Submitting Bug.
</t>
    </r>
    <r>
      <rPr>
        <sz val="8"/>
        <rFont val="Arial"/>
        <family val="2"/>
      </rPr>
      <t xml:space="preserve">See BUG </t>
    </r>
    <r>
      <rPr>
        <i/>
        <sz val="8"/>
        <rFont val="Arial"/>
        <family val="2"/>
      </rPr>
      <t xml:space="preserve">ADJCPE-4557. Note; </t>
    </r>
    <r>
      <rPr>
        <sz val="8"/>
        <rFont val="Arial"/>
        <family val="2"/>
      </rPr>
      <t>Claim_Core is not correctly reflecting the Claim_Status_Cd as 63. Status is reflecting 62-PAY</t>
    </r>
    <r>
      <rPr>
        <sz val="9"/>
        <rFont val="Arial"/>
        <family val="2"/>
      </rPr>
      <t xml:space="preserve">. </t>
    </r>
    <r>
      <rPr>
        <sz val="8"/>
        <rFont val="Arial"/>
        <family val="2"/>
      </rPr>
      <t>The claim status of this N1 exact duplicate will be 63 (unfinalized Argus Rejected/Denied/Reversed N1 Transaction)  and the CICS status DNI See Nx Overview Document (page 15)</t>
    </r>
  </si>
  <si>
    <t xml:space="preserve">SENDING DETAILS UNDER SEPARATE COVER!!! TESTING DOCUMENTATION ADJCPE-4557 </t>
  </si>
  <si>
    <t>{
       "headerSegment": {
        "versionNumber": "D0",
        "transactionCode": "B1",
        "iinNumber": 600428,
        "pcn": "18140001",
        "transactionCount": 1,
        "serviceProviderIdQualifier": "01",
        "serviceProviderId": "1639194236",
        "dateOfService": "20240526",
        "softwareVendorCertificationId": "SOFTWARE99"
   },
    "insuranceSegment": {
        "cardHolderId": "000000020240061801",
        "cardHolderFirstName": "SANFRANCISCO",
        "cardHolderLastName": "CALIFORNIA",
        "groupId": "NXTRANSACTION"
    },
    "claimSegment": {
        "serviceRefNumberQlfr": "1",
        "serviceRefNumber": 20240120616,
        "productIdQlfr": "03",
        "productId": "68180051202",
        "quantityDispensed": 60.000,
        "fillNumber": 0,
        "daysSupply": 10,
        "compoundCode": 1,
        "dawSelectionCode": "0",
        "prescriptionWrittenDate": 20240526,
        "numOfRefillsAuthorized": 10,
        "prescriptionOriginCode": 3
    },
    "pricingSegment": {
        "submittedIngredientCost": 135.00,
        "submittedDispensingFee": 0.00,
        "usualAndCustomaryCharge": 0.00,
        "grossAmountDue": 135.00
    }
}</t>
  </si>
  <si>
    <t>{
    "posTransactionId": 24152000616,
    "claimId": 245520006161,
    "headerResponse": {
        "versionReleaseNumber": "D0",
        "transactionCode": "N2",
        "transactionCount": "1",
        "headerResponseStatus": "R",
        "serviceProviderIdQualifier": "01",
        "serviceProviderId": "1639194236",
        "dateOfService": "20240616"
    },
    "insuranceResponse": {
        "cardHolderId": "000000020240061801"
    },
    "statusResponse": {
        "transactionResponseStatus": "R",
        "authorizationNumber": "245520006161",
        "rejectCount": 1,
        "rejectCodes": [
            {
                "codes": [
                    "769"
                ]
            }
        ],
        "additionalMessageInformationCount": 1,
        "additionalMessageInformation": [
            {
                "additionalMessageInformationQualifier": "01",
                "additionalMessageInformation": "REVERSAL NOT PROCESSED",
                "additionalMessageInformationContinuity": null
            }
        ]
    },
    "claimResponse": {
        "serviceRefNumberQlfr": "1",
        "serviceRefNumber": 202406240616
    },
    "errorCodes": [
        {
            "codes": [
                "769"
            ]
        }
    ]
}</t>
  </si>
  <si>
    <t xml:space="preserve">B1 Claim ID 245830000911
</t>
  </si>
  <si>
    <t>{
    "headerSegment": {
        "versionNumber": "D0",
        "transactionCode": "N1",
        "iinNumber": 600428,
        "pcn": "18140001",
        "transactionCount": 1,
        "serviceProviderIdQualifier": "01",
        "serviceProviderId": "1639194236",
        "dateOfService": "20240611",
        "softwareVendorCertificationId": "TROOP"
    },
    "insuranceSegment": {
        "cardHolderId": "000000020240061801",
        "cardHolderFirstName": "SANFRANCISCO",
        "cardHolderLastName": "CALIFORNIA",
        "groupId": "NXTRANSACTION",
        "otherPayerBinNumber" : 98765,
        "otherPayerProcessorControlNumber" : "92837465"
    },
    "claimSegment": {
        "serviceRefNumberQlfr": "1",
        "serviceRefNumber": 202406240011,
        "transactionReferenceNumber": 202406240011,
        "productIdQlfr": "03",
        "productId": "55111015810",
        "quantityDispensed": 60.000,
        "fillNumber": 0,
        "daysSupply": 10,
        "compoundCode": 1,
        "dawSelectionCode": "0",
        "prescriptionWrittenDate": 20240101,
        "numOfRefillsAuthorized": 10,
        "prescriptionOriginCode": 3
    },
    "pricingSegment": {
    "patientPaidAmountSubmitted": 33.75,
    "reportedPatientPay" : 20.00
   }
}</t>
  </si>
  <si>
    <t>* Pre-Requisite (existing B1 Claim  245780003771 (10PWE) 
Submit a N1 transaction with below details that should match with the existing B1 claim.
 - PCN
 - Service Provider ID
 - Date of service
 - Cardholder ID
 - Rx/Service referrence number
 - Product ID
If exact match for N1 transaction found with Transaction reference number. Then</t>
  </si>
  <si>
    <t>TC1.3
ADJCPE-4866</t>
  </si>
  <si>
    <t>TC1.2
ADJCPE-4865</t>
  </si>
  <si>
    <t>TC1.1
ADJCPE-4864</t>
  </si>
  <si>
    <t>TC1.4
ADJCPE-4867</t>
  </si>
  <si>
    <t>TC1.5
ADJCPE-4868</t>
  </si>
  <si>
    <r>
      <t>TC1.6</t>
    </r>
    <r>
      <rPr>
        <b/>
        <sz val="9"/>
        <rFont val="Arial"/>
        <family val="2"/>
      </rPr>
      <t>a</t>
    </r>
    <r>
      <rPr>
        <sz val="9"/>
        <rFont val="Arial"/>
        <family val="2"/>
      </rPr>
      <t xml:space="preserve">
(part 1) 
ADJCPE-4869</t>
    </r>
  </si>
  <si>
    <t>TC1.6b
(part 2) 
ADJCPE-4874</t>
  </si>
  <si>
    <t>TC1.7
ADJCPE-4875</t>
  </si>
  <si>
    <t>TC1.10
(part #1) 
ADJCPE-4876</t>
  </si>
  <si>
    <t>TC1.10a
(part #2) 
ADJCPE-4877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</si>
</sst>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5">
    <font>
      <sz val="11"/>
      <color theme="1"/>
      <name val="Calibri"/>
      <family val="2"/>
      <scheme val="minor"/>
    </font>
    <font>
      <sz val="10"/>
      <name val="Arial"/>
      <family val="2"/>
    </font>
    <font>
      <sz val="10"/>
      <name val="Arial"/>
      <family val="2"/>
    </font>
    <font>
      <sz val="8"/>
      <name val="Arial"/>
      <family val="2"/>
    </font>
    <font>
      <b/>
      <sz val="10"/>
      <name val="Arial"/>
      <family val="2"/>
    </font>
    <font>
      <sz val="12"/>
      <name val="Arial"/>
      <family val="2"/>
    </font>
    <font>
      <sz val="11"/>
      <name val="Arial"/>
      <family val="2"/>
    </font>
    <font>
      <b/>
      <sz val="10"/>
      <color indexed="8"/>
      <name val="Arial"/>
      <family val="2"/>
    </font>
    <font>
      <b/>
      <sz val="14"/>
      <name val="Arial"/>
      <family val="2"/>
    </font>
    <font>
      <sz val="18"/>
      <name val="Arial"/>
      <family val="2"/>
    </font>
    <font>
      <sz val="9"/>
      <name val="News Gothic Condensed"/>
      <family val="2"/>
    </font>
    <font>
      <sz val="14"/>
      <name val="Arial"/>
      <family val="2"/>
    </font>
    <font>
      <sz val="11"/>
      <color theme="1"/>
      <name val="Arial"/>
      <family val="2"/>
    </font>
    <font>
      <b/>
      <sz val="10"/>
      <color theme="1"/>
      <name val="Arial"/>
      <family val="2"/>
    </font>
    <font>
      <sz val="10"/>
      <color theme="1"/>
      <name val="Arial"/>
      <family val="2"/>
    </font>
    <font>
      <b/>
      <sz val="12"/>
      <color theme="1"/>
      <name val="Arial"/>
      <family val="2"/>
    </font>
    <font>
      <sz val="9"/>
      <color theme="1"/>
      <name val="Arial Narrow"/>
      <family val="2"/>
    </font>
    <font>
      <b/>
      <sz val="9"/>
      <color theme="1"/>
      <name val="Arial Narrow"/>
      <family val="2"/>
    </font>
    <font>
      <b/>
      <sz val="9"/>
      <color rgb="FF000000"/>
      <name val="Arial Narrow"/>
      <family val="2"/>
    </font>
    <font>
      <sz val="9"/>
      <color rgb="FF000000"/>
      <name val="Arial Narrow"/>
      <family val="2"/>
    </font>
    <font>
      <sz val="9"/>
      <color theme="0" tint="-0.499984740745262"/>
      <name val="Arial Narrow"/>
      <family val="2"/>
    </font>
    <font>
      <b/>
      <sz val="14"/>
      <color theme="1"/>
      <name val="Arial"/>
      <family val="2"/>
    </font>
    <font>
      <sz val="6"/>
      <color theme="1"/>
      <name val="Arial"/>
      <family val="2"/>
    </font>
    <font>
      <sz val="9"/>
      <name val="Arial"/>
      <family val="2"/>
    </font>
    <font>
      <b/>
      <sz val="9"/>
      <name val="Arial"/>
      <family val="2"/>
    </font>
    <font>
      <b/>
      <sz val="8"/>
      <name val="Arial"/>
      <family val="2"/>
    </font>
    <font>
      <i/>
      <sz val="8"/>
      <name val="Arial"/>
      <family val="2"/>
    </font>
    <font>
      <sz val="7"/>
      <name val="Arial"/>
      <family val="2"/>
    </font>
    <font>
      <sz val="8"/>
      <name val="Calibri"/>
      <family val="2"/>
    </font>
    <font>
      <b/>
      <sz val="8"/>
      <name val="Calibri"/>
      <family val="2"/>
    </font>
    <font>
      <b/>
      <sz val="9"/>
      <color rgb="FFC00000"/>
      <name val="Arial"/>
      <family val="2"/>
    </font>
    <font>
      <sz val="9"/>
      <color rgb="FFC00000"/>
      <name val="Arial"/>
      <family val="2"/>
    </font>
    <font>
      <sz val="8"/>
      <color rgb="FFC00000"/>
      <name val="Calibri"/>
      <family val="2"/>
    </font>
    <font>
      <sz val="7"/>
      <color rgb="FFC00000"/>
      <name val="Arial"/>
      <family val="2"/>
    </font>
    <font>
      <sz val="10"/>
      <color rgb="FFC00000"/>
      <name val="Arial"/>
      <family val="2"/>
    </font>
  </fonts>
  <fills count="5">
    <fill>
      <patternFill patternType="none"/>
    </fill>
    <fill>
      <patternFill patternType="gray125"/>
    </fill>
    <fill>
      <patternFill patternType="solid">
        <fgColor theme="0" tint="-0.499984740745262"/>
        <bgColor indexed="64"/>
      </patternFill>
    </fill>
    <fill>
      <patternFill patternType="solid">
        <fgColor theme="3" tint="0.59999389629810485"/>
        <bgColor indexed="64"/>
      </patternFill>
    </fill>
    <fill>
      <patternFill patternType="solid">
        <fgColor theme="6" tint="0.79998168889431442"/>
        <bgColor indexed="64"/>
      </patternFill>
    </fill>
  </fills>
  <borders count="8">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0" fontId="1" fillId="0" borderId="0"/>
    <xf numFmtId="0" fontId="1" fillId="0" borderId="0"/>
    <xf numFmtId="0" fontId="1" fillId="0" borderId="0"/>
    <xf numFmtId="0" fontId="2" fillId="0" borderId="0"/>
  </cellStyleXfs>
  <cellXfs count="125">
    <xf numFmtId="0" fontId="0" fillId="0" borderId="0" xfId="0"/>
    <xf numFmtId="0" fontId="3" fillId="0" borderId="0" xfId="4" applyFont="1" applyAlignment="1">
      <alignment vertical="top" wrapText="1"/>
    </xf>
    <xf numFmtId="0" fontId="3" fillId="0" borderId="1" xfId="4" applyFont="1" applyBorder="1" applyAlignment="1">
      <alignment vertical="top" wrapText="1"/>
    </xf>
    <xf numFmtId="0" fontId="2" fillId="0" borderId="0" xfId="4"/>
    <xf numFmtId="0" fontId="12" fillId="0" borderId="0" xfId="0" applyFont="1"/>
    <xf numFmtId="10" fontId="12" fillId="0" borderId="0" xfId="0" applyNumberFormat="1" applyFont="1"/>
    <xf numFmtId="0" fontId="12" fillId="0" borderId="0" xfId="0" applyFont="1" applyAlignment="1">
      <alignment wrapText="1"/>
    </xf>
    <xf numFmtId="0" fontId="6" fillId="0" borderId="0" xfId="4" applyFont="1"/>
    <xf numFmtId="0" fontId="13" fillId="0" borderId="2" xfId="0" applyFont="1" applyBorder="1" applyAlignment="1">
      <alignment vertical="top" wrapText="1"/>
    </xf>
    <xf numFmtId="0" fontId="13" fillId="0" borderId="0" xfId="0" applyFont="1" applyAlignment="1">
      <alignment horizontal="left" vertical="top" wrapText="1"/>
    </xf>
    <xf numFmtId="0" fontId="14" fillId="0" borderId="0" xfId="0" applyFont="1" applyAlignment="1">
      <alignment vertical="top"/>
    </xf>
    <xf numFmtId="10" fontId="14" fillId="0" borderId="0" xfId="0" applyNumberFormat="1" applyFont="1" applyAlignment="1">
      <alignment vertical="top"/>
    </xf>
    <xf numFmtId="0" fontId="14" fillId="0" borderId="0" xfId="0" applyFont="1" applyAlignment="1">
      <alignment vertical="top" wrapText="1"/>
    </xf>
    <xf numFmtId="0" fontId="1" fillId="0" borderId="0" xfId="4" applyFont="1" applyAlignment="1">
      <alignment vertical="top"/>
    </xf>
    <xf numFmtId="0" fontId="13" fillId="0" borderId="2" xfId="0" applyFont="1" applyBorder="1" applyAlignment="1">
      <alignment horizontal="center" vertical="top"/>
    </xf>
    <xf numFmtId="10" fontId="13" fillId="0" borderId="2" xfId="0" applyNumberFormat="1" applyFont="1" applyBorder="1" applyAlignment="1">
      <alignment horizontal="center" vertical="top"/>
    </xf>
    <xf numFmtId="10" fontId="13" fillId="0" borderId="2" xfId="0" applyNumberFormat="1" applyFont="1" applyBorder="1" applyAlignment="1">
      <alignment horizontal="center" vertical="top" wrapText="1"/>
    </xf>
    <xf numFmtId="10" fontId="7" fillId="0" borderId="0" xfId="0" applyNumberFormat="1" applyFont="1" applyAlignment="1">
      <alignment vertical="top"/>
    </xf>
    <xf numFmtId="0" fontId="13" fillId="0" borderId="2" xfId="0" applyFont="1" applyBorder="1" applyAlignment="1">
      <alignment vertical="top"/>
    </xf>
    <xf numFmtId="10" fontId="13" fillId="0" borderId="2" xfId="0" applyNumberFormat="1" applyFont="1" applyBorder="1" applyAlignment="1">
      <alignment vertical="top"/>
    </xf>
    <xf numFmtId="0" fontId="4" fillId="0" borderId="2" xfId="0" applyFont="1" applyBorder="1" applyAlignment="1">
      <alignment vertical="top"/>
    </xf>
    <xf numFmtId="9" fontId="7" fillId="0" borderId="0" xfId="0" applyNumberFormat="1" applyFont="1" applyAlignment="1">
      <alignment vertical="top"/>
    </xf>
    <xf numFmtId="0" fontId="3" fillId="0" borderId="0" xfId="4" applyFont="1" applyAlignment="1" applyProtection="1">
      <alignment horizontal="left" vertical="top"/>
      <protection locked="0"/>
    </xf>
    <xf numFmtId="0" fontId="3" fillId="0" borderId="0" xfId="4" applyFont="1" applyAlignment="1" applyProtection="1">
      <alignment vertical="top" wrapText="1"/>
      <protection locked="0"/>
    </xf>
    <xf numFmtId="0" fontId="3" fillId="0" borderId="1" xfId="4" applyFont="1" applyBorder="1" applyAlignment="1" applyProtection="1">
      <alignment vertical="top"/>
      <protection locked="0"/>
    </xf>
    <xf numFmtId="0" fontId="3" fillId="0" borderId="1" xfId="4" applyFont="1" applyBorder="1" applyAlignment="1" applyProtection="1">
      <alignment vertical="top" wrapText="1"/>
      <protection locked="0"/>
    </xf>
    <xf numFmtId="0" fontId="15" fillId="0" borderId="0" xfId="0" applyFont="1" applyProtection="1">
      <protection locked="0"/>
    </xf>
    <xf numFmtId="0" fontId="12" fillId="0" borderId="0" xfId="0" applyFont="1" applyProtection="1">
      <protection locked="0"/>
    </xf>
    <xf numFmtId="49" fontId="12" fillId="0" borderId="0" xfId="0" applyNumberFormat="1" applyFont="1" applyProtection="1">
      <protection locked="0"/>
    </xf>
    <xf numFmtId="0" fontId="14" fillId="0" borderId="0" xfId="0" applyFont="1" applyAlignment="1" applyProtection="1">
      <alignment vertical="top"/>
      <protection locked="0"/>
    </xf>
    <xf numFmtId="49" fontId="14" fillId="0" borderId="0" xfId="0" applyNumberFormat="1" applyFont="1" applyAlignment="1" applyProtection="1">
      <alignment vertical="top"/>
      <protection locked="0"/>
    </xf>
    <xf numFmtId="0" fontId="13" fillId="0" borderId="2" xfId="0" applyFont="1" applyBorder="1" applyAlignment="1" applyProtection="1">
      <alignment vertical="top"/>
      <protection locked="0"/>
    </xf>
    <xf numFmtId="49" fontId="13" fillId="0" borderId="2" xfId="0" applyNumberFormat="1" applyFont="1" applyBorder="1" applyAlignment="1" applyProtection="1">
      <alignment vertical="top"/>
      <protection locked="0"/>
    </xf>
    <xf numFmtId="0" fontId="14" fillId="2" borderId="0" xfId="0" applyFont="1" applyFill="1" applyAlignment="1" applyProtection="1">
      <alignment vertical="top"/>
      <protection locked="0"/>
    </xf>
    <xf numFmtId="49" fontId="13" fillId="2" borderId="0" xfId="0" applyNumberFormat="1" applyFont="1" applyFill="1" applyAlignment="1" applyProtection="1">
      <alignment vertical="top"/>
      <protection locked="0"/>
    </xf>
    <xf numFmtId="0" fontId="13" fillId="0" borderId="0" xfId="0" applyFont="1" applyAlignment="1" applyProtection="1">
      <alignment horizontal="center" vertical="top"/>
      <protection locked="0"/>
    </xf>
    <xf numFmtId="0" fontId="2" fillId="0" borderId="0" xfId="4" applyProtection="1">
      <protection locked="0"/>
    </xf>
    <xf numFmtId="10" fontId="15" fillId="0" borderId="0" xfId="0" applyNumberFormat="1" applyFont="1" applyProtection="1">
      <protection locked="0"/>
    </xf>
    <xf numFmtId="0" fontId="15" fillId="0" borderId="0" xfId="0" applyFont="1" applyAlignment="1" applyProtection="1">
      <alignment wrapText="1"/>
      <protection locked="0"/>
    </xf>
    <xf numFmtId="49" fontId="15" fillId="0" borderId="0" xfId="0" applyNumberFormat="1" applyFont="1" applyProtection="1">
      <protection locked="0"/>
    </xf>
    <xf numFmtId="0" fontId="5" fillId="0" borderId="0" xfId="4" applyFont="1" applyProtection="1">
      <protection locked="0"/>
    </xf>
    <xf numFmtId="0" fontId="13" fillId="2" borderId="0" xfId="0" applyFont="1" applyFill="1" applyAlignment="1" applyProtection="1">
      <alignment vertical="top"/>
      <protection locked="0"/>
    </xf>
    <xf numFmtId="10" fontId="13" fillId="2" borderId="0" xfId="0" applyNumberFormat="1" applyFont="1" applyFill="1" applyAlignment="1" applyProtection="1">
      <alignment vertical="top"/>
      <protection locked="0"/>
    </xf>
    <xf numFmtId="0" fontId="1" fillId="0" borderId="0" xfId="4" applyFont="1" applyAlignment="1" applyProtection="1">
      <alignment vertical="top"/>
      <protection locked="0"/>
    </xf>
    <xf numFmtId="14" fontId="14" fillId="0" borderId="0" xfId="0" applyNumberFormat="1" applyFont="1" applyAlignment="1" applyProtection="1">
      <alignment horizontal="left" vertical="top"/>
      <protection locked="0"/>
    </xf>
    <xf numFmtId="10" fontId="14" fillId="0" borderId="0" xfId="0" applyNumberFormat="1" applyFont="1" applyAlignment="1" applyProtection="1">
      <alignment vertical="top"/>
      <protection locked="0"/>
    </xf>
    <xf numFmtId="0" fontId="17" fillId="0" borderId="2" xfId="0" applyFont="1" applyBorder="1" applyAlignment="1" applyProtection="1">
      <alignment horizontal="left" vertical="top" wrapText="1"/>
      <protection locked="0"/>
    </xf>
    <xf numFmtId="0" fontId="16" fillId="0" borderId="2" xfId="0" applyFont="1" applyBorder="1" applyAlignment="1" applyProtection="1">
      <alignment horizontal="left" vertical="top" wrapText="1"/>
      <protection locked="0"/>
    </xf>
    <xf numFmtId="49" fontId="17" fillId="0" borderId="2" xfId="0" applyNumberFormat="1" applyFont="1" applyBorder="1" applyAlignment="1">
      <alignment horizontal="left" vertical="top" wrapText="1"/>
    </xf>
    <xf numFmtId="0" fontId="20" fillId="0" borderId="2" xfId="0" applyFont="1" applyBorder="1" applyAlignment="1">
      <alignment horizontal="left" vertical="top" wrapText="1"/>
    </xf>
    <xf numFmtId="49" fontId="20" fillId="0" borderId="2" xfId="0" applyNumberFormat="1" applyFont="1" applyBorder="1" applyAlignment="1">
      <alignment horizontal="left" vertical="top" wrapText="1"/>
    </xf>
    <xf numFmtId="14" fontId="13" fillId="0" borderId="0" xfId="0" applyNumberFormat="1" applyFont="1" applyAlignment="1">
      <alignment horizontal="center" vertical="top"/>
    </xf>
    <xf numFmtId="10" fontId="13" fillId="0" borderId="0" xfId="0" applyNumberFormat="1" applyFont="1" applyAlignment="1">
      <alignment vertical="top"/>
    </xf>
    <xf numFmtId="0" fontId="7" fillId="0" borderId="0" xfId="0" applyFont="1" applyAlignment="1">
      <alignment horizontal="left" vertical="top" wrapText="1"/>
    </xf>
    <xf numFmtId="0" fontId="13" fillId="0" borderId="0" xfId="0" applyFont="1" applyAlignment="1">
      <alignment vertical="top"/>
    </xf>
    <xf numFmtId="0" fontId="13" fillId="0" borderId="0" xfId="0" applyFont="1" applyAlignment="1">
      <alignment vertical="top" wrapText="1"/>
    </xf>
    <xf numFmtId="0" fontId="3" fillId="0" borderId="0" xfId="1" applyFont="1" applyAlignment="1">
      <alignment horizontal="left" vertical="top"/>
    </xf>
    <xf numFmtId="0" fontId="3" fillId="0" borderId="0" xfId="1" applyFont="1" applyAlignment="1">
      <alignment vertical="top" wrapText="1"/>
    </xf>
    <xf numFmtId="0" fontId="3" fillId="0" borderId="1" xfId="1" applyFont="1" applyBorder="1" applyAlignment="1">
      <alignment vertical="top"/>
    </xf>
    <xf numFmtId="0" fontId="3" fillId="0" borderId="1" xfId="1" applyFont="1" applyBorder="1" applyAlignment="1">
      <alignment vertical="top" wrapText="1"/>
    </xf>
    <xf numFmtId="0" fontId="1" fillId="0" borderId="0" xfId="1"/>
    <xf numFmtId="0" fontId="9" fillId="0" borderId="0" xfId="1" applyFont="1" applyAlignment="1">
      <alignment horizontal="left" vertical="top" wrapText="1"/>
    </xf>
    <xf numFmtId="0" fontId="4" fillId="0" borderId="0" xfId="1" applyFont="1"/>
    <xf numFmtId="0" fontId="10" fillId="0" borderId="0" xfId="1" applyFont="1" applyAlignment="1">
      <alignment horizontal="center"/>
    </xf>
    <xf numFmtId="0" fontId="12" fillId="0" borderId="0" xfId="1" applyFont="1"/>
    <xf numFmtId="0" fontId="8" fillId="0" borderId="2" xfId="1" applyFont="1" applyBorder="1" applyAlignment="1">
      <alignment horizontal="left" vertical="top" wrapText="1"/>
    </xf>
    <xf numFmtId="14" fontId="8" fillId="0" borderId="2" xfId="1" applyNumberFormat="1" applyFont="1" applyBorder="1" applyAlignment="1">
      <alignment horizontal="left" vertical="top" wrapText="1"/>
    </xf>
    <xf numFmtId="0" fontId="21" fillId="0" borderId="0" xfId="0" applyFont="1" applyProtection="1">
      <protection locked="0"/>
    </xf>
    <xf numFmtId="0" fontId="21" fillId="0" borderId="0" xfId="0" applyFont="1"/>
    <xf numFmtId="10" fontId="21" fillId="0" borderId="0" xfId="0" applyNumberFormat="1" applyFont="1" applyProtection="1">
      <protection locked="0"/>
    </xf>
    <xf numFmtId="0" fontId="21" fillId="0" borderId="0" xfId="0" applyFont="1" applyAlignment="1" applyProtection="1">
      <alignment wrapText="1"/>
      <protection locked="0"/>
    </xf>
    <xf numFmtId="0" fontId="11" fillId="0" borderId="0" xfId="4" applyFont="1" applyProtection="1">
      <protection locked="0"/>
    </xf>
    <xf numFmtId="49" fontId="8" fillId="0" borderId="2" xfId="1" applyNumberFormat="1" applyFont="1" applyBorder="1" applyAlignment="1">
      <alignment horizontal="left" vertical="top" wrapText="1"/>
    </xf>
    <xf numFmtId="0" fontId="20" fillId="0" borderId="2" xfId="0" applyFont="1" applyBorder="1" applyAlignment="1">
      <alignment vertical="top" wrapText="1"/>
    </xf>
    <xf numFmtId="0" fontId="16" fillId="0" borderId="2" xfId="0" applyFont="1" applyBorder="1" applyAlignment="1" applyProtection="1">
      <alignment horizontal="center" vertical="center" wrapText="1"/>
      <protection locked="0"/>
    </xf>
    <xf numFmtId="0" fontId="17" fillId="0" borderId="2" xfId="0" applyFont="1" applyBorder="1" applyAlignment="1" applyProtection="1">
      <alignment horizontal="center" vertical="center" wrapText="1"/>
      <protection locked="0"/>
    </xf>
    <xf numFmtId="0" fontId="20" fillId="0" borderId="2" xfId="0" applyFont="1" applyBorder="1" applyAlignment="1">
      <alignment horizontal="center" vertical="center" wrapText="1"/>
    </xf>
    <xf numFmtId="0" fontId="18" fillId="0" borderId="2" xfId="0" applyFont="1" applyBorder="1" applyAlignment="1" applyProtection="1">
      <alignment horizontal="center" vertical="center" wrapText="1"/>
      <protection locked="0"/>
    </xf>
    <xf numFmtId="49" fontId="17" fillId="0" borderId="2" xfId="0" applyNumberFormat="1" applyFont="1" applyBorder="1" applyAlignment="1" applyProtection="1">
      <alignment horizontal="center" vertical="center" wrapText="1"/>
      <protection locked="0"/>
    </xf>
    <xf numFmtId="0" fontId="17" fillId="0" borderId="2" xfId="0" applyFont="1" applyBorder="1" applyAlignment="1">
      <alignment horizontal="center" vertical="center" wrapText="1"/>
    </xf>
    <xf numFmtId="16" fontId="19" fillId="0" borderId="2" xfId="0" applyNumberFormat="1" applyFont="1" applyBorder="1" applyAlignment="1" applyProtection="1">
      <alignment horizontal="center" vertical="center" wrapText="1"/>
      <protection locked="0"/>
    </xf>
    <xf numFmtId="14" fontId="8" fillId="0" borderId="2" xfId="1" quotePrefix="1" applyNumberFormat="1" applyFont="1" applyBorder="1" applyAlignment="1">
      <alignment horizontal="left" vertical="top" wrapText="1"/>
    </xf>
    <xf numFmtId="0" fontId="23" fillId="0" borderId="2" xfId="4" applyFont="1" applyBorder="1" applyAlignment="1" applyProtection="1">
      <alignment horizontal="center" vertical="center" wrapText="1"/>
      <protection locked="0"/>
    </xf>
    <xf numFmtId="0" fontId="23" fillId="0" borderId="2" xfId="4" applyFont="1" applyBorder="1" applyAlignment="1" applyProtection="1">
      <alignment vertical="top" wrapText="1"/>
      <protection locked="0"/>
    </xf>
    <xf numFmtId="0" fontId="23" fillId="0" borderId="2" xfId="4" applyFont="1" applyBorder="1" applyAlignment="1" applyProtection="1">
      <alignment wrapText="1"/>
      <protection locked="0"/>
    </xf>
    <xf numFmtId="0" fontId="23" fillId="0" borderId="2" xfId="4" applyFont="1" applyBorder="1" applyAlignment="1" applyProtection="1">
      <alignment horizontal="left" vertical="top" wrapText="1"/>
      <protection locked="0"/>
    </xf>
    <xf numFmtId="0" fontId="23" fillId="0" borderId="2" xfId="4" applyFont="1" applyBorder="1" applyAlignment="1" applyProtection="1">
      <alignment horizontal="left" vertical="center" wrapText="1"/>
      <protection locked="0"/>
    </xf>
    <xf numFmtId="10" fontId="17" fillId="0" borderId="2" xfId="0" applyNumberFormat="1" applyFont="1" applyBorder="1" applyAlignment="1">
      <alignment horizontal="center" vertical="center" wrapText="1"/>
    </xf>
    <xf numFmtId="0" fontId="23" fillId="3" borderId="2" xfId="4" applyFont="1" applyFill="1" applyBorder="1" applyAlignment="1" applyProtection="1">
      <alignment horizontal="center" vertical="center" wrapText="1"/>
      <protection locked="0"/>
    </xf>
    <xf numFmtId="0" fontId="23" fillId="3" borderId="2" xfId="4" applyFont="1" applyFill="1" applyBorder="1" applyAlignment="1" applyProtection="1">
      <alignment wrapText="1"/>
      <protection locked="0"/>
    </xf>
    <xf numFmtId="0" fontId="16" fillId="0" borderId="2" xfId="0" applyFont="1" applyBorder="1" applyAlignment="1" applyProtection="1">
      <alignment horizontal="left" vertical="center" wrapText="1"/>
      <protection locked="0"/>
    </xf>
    <xf numFmtId="0" fontId="17" fillId="0" borderId="2" xfId="0" applyFont="1" applyBorder="1" applyAlignment="1" applyProtection="1">
      <alignment horizontal="left" vertical="center" wrapText="1"/>
      <protection locked="0"/>
    </xf>
    <xf numFmtId="0" fontId="20" fillId="0" borderId="2" xfId="0" applyFont="1" applyBorder="1" applyAlignment="1">
      <alignment horizontal="left" vertical="center" wrapText="1"/>
    </xf>
    <xf numFmtId="49" fontId="17" fillId="0" borderId="2" xfId="0" applyNumberFormat="1" applyFont="1" applyBorder="1" applyAlignment="1" applyProtection="1">
      <alignment horizontal="center" vertical="top" wrapText="1"/>
      <protection locked="0"/>
    </xf>
    <xf numFmtId="0" fontId="23" fillId="0" borderId="2" xfId="4" applyFont="1" applyBorder="1" applyAlignment="1" applyProtection="1">
      <alignment horizontal="center" vertical="top" wrapText="1"/>
      <protection locked="0"/>
    </xf>
    <xf numFmtId="0" fontId="16" fillId="0" borderId="2" xfId="0" applyFont="1" applyBorder="1" applyAlignment="1" applyProtection="1">
      <alignment horizontal="center" vertical="top" wrapText="1"/>
      <protection locked="0"/>
    </xf>
    <xf numFmtId="49" fontId="20" fillId="0" borderId="2" xfId="0" applyNumberFormat="1" applyFont="1" applyBorder="1" applyAlignment="1">
      <alignment horizontal="center" vertical="top" wrapText="1"/>
    </xf>
    <xf numFmtId="0" fontId="23" fillId="3" borderId="2" xfId="4" applyFont="1" applyFill="1" applyBorder="1" applyAlignment="1" applyProtection="1">
      <alignment horizontal="center" vertical="top" wrapText="1"/>
      <protection locked="0"/>
    </xf>
    <xf numFmtId="0" fontId="3" fillId="0" borderId="2" xfId="4" applyFont="1" applyBorder="1" applyAlignment="1" applyProtection="1">
      <alignment vertical="top" wrapText="1"/>
      <protection locked="0"/>
    </xf>
    <xf numFmtId="0" fontId="3" fillId="0" borderId="2" xfId="4" applyFont="1" applyBorder="1" applyAlignment="1" applyProtection="1">
      <alignment horizontal="left" vertical="top" wrapText="1"/>
      <protection locked="0"/>
    </xf>
    <xf numFmtId="0" fontId="27" fillId="0" borderId="2" xfId="4" applyFont="1" applyBorder="1" applyAlignment="1" applyProtection="1">
      <alignment horizontal="left" vertical="top" wrapText="1"/>
      <protection locked="0"/>
    </xf>
    <xf numFmtId="0" fontId="23" fillId="0" borderId="2" xfId="4" applyFont="1" applyFill="1" applyBorder="1" applyAlignment="1" applyProtection="1">
      <alignment horizontal="center" vertical="center" wrapText="1"/>
      <protection locked="0"/>
    </xf>
    <xf numFmtId="0" fontId="23" fillId="0" borderId="2" xfId="4" applyFont="1" applyFill="1" applyBorder="1" applyAlignment="1" applyProtection="1">
      <alignment wrapText="1"/>
      <protection locked="0"/>
    </xf>
    <xf numFmtId="0" fontId="23" fillId="0" borderId="2" xfId="4" applyFont="1" applyFill="1" applyBorder="1" applyAlignment="1" applyProtection="1">
      <alignment horizontal="center" vertical="top" wrapText="1"/>
      <protection locked="0"/>
    </xf>
    <xf numFmtId="0" fontId="3" fillId="0" borderId="2" xfId="4" applyFont="1" applyBorder="1" applyAlignment="1" applyProtection="1">
      <alignment wrapText="1"/>
      <protection locked="0"/>
    </xf>
    <xf numFmtId="0" fontId="28" fillId="0" borderId="2" xfId="4" applyFont="1" applyBorder="1" applyAlignment="1" applyProtection="1">
      <alignment vertical="top" wrapText="1"/>
      <protection locked="0"/>
    </xf>
    <xf numFmtId="0" fontId="23" fillId="4" borderId="2" xfId="4" applyFont="1" applyFill="1" applyBorder="1" applyAlignment="1" applyProtection="1">
      <alignment horizontal="center" vertical="center" wrapText="1"/>
      <protection locked="0"/>
    </xf>
    <xf numFmtId="0" fontId="23" fillId="0" borderId="2" xfId="4" applyFont="1" applyFill="1" applyBorder="1" applyAlignment="1" applyProtection="1">
      <alignment horizontal="left" vertical="top" wrapText="1"/>
      <protection locked="0"/>
    </xf>
    <xf numFmtId="0" fontId="23" fillId="0" borderId="2" xfId="4" applyFont="1" applyFill="1" applyBorder="1" applyAlignment="1" applyProtection="1">
      <alignment vertical="top" wrapText="1"/>
      <protection locked="0"/>
    </xf>
    <xf numFmtId="0" fontId="23" fillId="3" borderId="2" xfId="4" applyFont="1" applyFill="1" applyBorder="1" applyAlignment="1" applyProtection="1">
      <alignment vertical="top" wrapText="1"/>
      <protection locked="0"/>
    </xf>
    <xf numFmtId="0" fontId="23" fillId="3" borderId="2" xfId="4" applyFont="1" applyFill="1" applyBorder="1" applyAlignment="1" applyProtection="1">
      <alignment horizontal="left" vertical="top" wrapText="1"/>
      <protection locked="0"/>
    </xf>
    <xf numFmtId="0" fontId="34" fillId="0" borderId="2" xfId="4" applyFont="1" applyBorder="1" applyAlignment="1" applyProtection="1">
      <alignment vertical="top" wrapText="1"/>
      <protection locked="0"/>
    </xf>
    <xf numFmtId="0" fontId="22" fillId="2" borderId="4" xfId="0" applyFont="1" applyFill="1" applyBorder="1" applyAlignment="1" applyProtection="1">
      <alignment horizontal="center" vertical="top"/>
      <protection locked="0"/>
    </xf>
    <xf numFmtId="0" fontId="22" fillId="2" borderId="0" xfId="0" applyFont="1" applyFill="1" applyAlignment="1" applyProtection="1">
      <alignment horizontal="center" vertical="top"/>
      <protection locked="0"/>
    </xf>
    <xf numFmtId="0" fontId="22" fillId="2" borderId="5" xfId="0" applyFont="1" applyFill="1" applyBorder="1" applyAlignment="1" applyProtection="1">
      <alignment horizontal="center" vertical="top"/>
      <protection locked="0"/>
    </xf>
    <xf numFmtId="0" fontId="8" fillId="0" borderId="6" xfId="1" applyFont="1" applyBorder="1" applyAlignment="1">
      <alignment horizontal="center" vertical="top" wrapText="1"/>
    </xf>
    <xf numFmtId="0" fontId="8" fillId="0" borderId="3" xfId="1" applyFont="1" applyBorder="1" applyAlignment="1">
      <alignment horizontal="center" vertical="top" wrapText="1"/>
    </xf>
    <xf numFmtId="0" fontId="8" fillId="0" borderId="4" xfId="1" applyFont="1" applyBorder="1" applyAlignment="1">
      <alignment horizontal="left" vertical="top" wrapText="1"/>
    </xf>
    <xf numFmtId="0" fontId="8" fillId="0" borderId="5" xfId="1" applyFont="1" applyBorder="1" applyAlignment="1">
      <alignment horizontal="left" vertical="top" wrapText="1"/>
    </xf>
    <xf numFmtId="0" fontId="23" fillId="0" borderId="6" xfId="4" applyFont="1" applyBorder="1" applyAlignment="1">
      <alignment horizontal="left" vertical="top" wrapText="1"/>
    </xf>
    <xf numFmtId="0" fontId="23" fillId="0" borderId="7" xfId="4" applyFont="1" applyBorder="1" applyAlignment="1">
      <alignment horizontal="left" vertical="top" wrapText="1"/>
    </xf>
    <xf numFmtId="0" fontId="23" fillId="0" borderId="3" xfId="4" applyFont="1" applyBorder="1" applyAlignment="1">
      <alignment horizontal="left" vertical="top" wrapText="1"/>
    </xf>
    <xf numFmtId="0" fontId="23" fillId="0" borderId="6" xfId="4" applyFont="1" applyBorder="1" applyAlignment="1">
      <alignment vertical="top" wrapText="1"/>
    </xf>
    <xf numFmtId="0" fontId="23" fillId="0" borderId="7" xfId="4" applyFont="1" applyBorder="1" applyAlignment="1">
      <alignment vertical="top" wrapText="1"/>
    </xf>
    <xf numFmtId="0" fontId="23" fillId="0" borderId="3" xfId="4" applyFont="1" applyBorder="1" applyAlignment="1">
      <alignment vertical="top" wrapText="1"/>
    </xf>
  </cellXfs>
  <cellStyles count="5">
    <cellStyle name="Normal" xfId="0" builtinId="0"/>
    <cellStyle name="Normal 10" xfId="1"/>
    <cellStyle name="Normal 2" xfId="2"/>
    <cellStyle name="Normal 3" xfId="3"/>
    <cellStyle name="Normal 4" xfId="4"/>
  </cellStyles>
  <dxfs count="6">
    <dxf>
      <fill>
        <patternFill>
          <bgColor rgb="FFFF0000"/>
        </patternFill>
      </fill>
    </dxf>
    <dxf>
      <fill>
        <patternFill>
          <bgColor rgb="FFFFFF00"/>
        </patternFill>
      </fill>
    </dxf>
    <dxf>
      <fill>
        <patternFill>
          <bgColor rgb="FF92D050"/>
        </patternFill>
      </fill>
    </dxf>
    <dxf>
      <fill>
        <patternFill>
          <bgColor rgb="FFDE0000"/>
        </patternFill>
      </fill>
    </dxf>
    <dxf>
      <fill>
        <patternFill>
          <bgColor rgb="FFFFFF00"/>
        </patternFill>
      </fill>
    </dxf>
    <dxf>
      <fill>
        <patternFill>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zoomScale="90" zoomScaleNormal="90" zoomScalePageLayoutView="90" workbookViewId="0">
      <selection activeCell="H28" sqref="H28"/>
    </sheetView>
  </sheetViews>
  <sheetFormatPr defaultColWidth="9.1796875" defaultRowHeight="12.5"/>
  <cols>
    <col min="1" max="1" width="3.54296875" style="36" customWidth="1"/>
    <col min="2" max="2" width="22" style="36" customWidth="1"/>
    <col min="3" max="3" width="11.1796875" style="3" customWidth="1"/>
    <col min="4" max="4" width="17.54296875" style="3" customWidth="1"/>
    <col min="5" max="5" width="8.54296875" style="3" customWidth="1"/>
    <col min="6" max="6" width="7.54296875" style="3" customWidth="1"/>
    <col min="7" max="7" width="10.54296875" style="3" customWidth="1"/>
    <col min="8" max="8" width="13.1796875" style="3" customWidth="1"/>
    <col min="9" max="9" width="35.81640625" style="3" customWidth="1"/>
    <col min="10" max="16384" width="9.1796875" style="3"/>
  </cols>
  <sheetData>
    <row r="1" spans="1:9" s="1" customFormat="1" ht="12.75" customHeight="1">
      <c r="A1" s="22" t="s">
        <v>0</v>
      </c>
      <c r="B1" s="23"/>
    </row>
    <row r="2" spans="1:9" s="2" customFormat="1" ht="12.75" customHeight="1" thickBot="1">
      <c r="A2" s="24" t="str">
        <f ca="1">"interpreted under the Freedom of Information Act and applicable case law. Copyright "&amp; YEAR(TODAY()) &amp;" by DST Pharmacy Solutions, Inc. (""Pharmacy Solutions""), d/b/a SS&amp;C Health"</f>
        <v>interpreted under the Freedom of Information Act and applicable case law. Copyright 2025 by DST Pharmacy Solutions, Inc. ("Pharmacy Solutions"), d/b/a SS&amp;C Health</v>
      </c>
      <c r="B2" s="25"/>
    </row>
    <row r="3" spans="1:9" s="7" customFormat="1" ht="14">
      <c r="A3" s="27"/>
      <c r="B3" s="28"/>
      <c r="C3" s="4"/>
      <c r="D3" s="4"/>
      <c r="E3" s="4"/>
      <c r="F3" s="4"/>
      <c r="G3" s="4"/>
      <c r="H3" s="5"/>
      <c r="I3" s="6"/>
    </row>
    <row r="4" spans="1:9" s="71" customFormat="1" ht="18">
      <c r="A4" s="67"/>
      <c r="B4" s="67" t="s">
        <v>72</v>
      </c>
      <c r="C4" s="68" t="str">
        <f>'TS Cover Page'!C4</f>
        <v>ADJCPE - 4367 - Write test cases for Nx Transactions</v>
      </c>
      <c r="D4" s="68"/>
      <c r="E4" s="67"/>
      <c r="F4" s="67"/>
      <c r="G4" s="67"/>
      <c r="H4" s="69"/>
      <c r="I4" s="70"/>
    </row>
    <row r="5" spans="1:9" s="40" customFormat="1" ht="15.5">
      <c r="A5" s="26"/>
      <c r="B5" s="26"/>
      <c r="C5" s="39"/>
      <c r="D5" s="26"/>
      <c r="E5" s="26"/>
      <c r="F5" s="26"/>
      <c r="G5" s="26"/>
      <c r="H5" s="37"/>
      <c r="I5" s="38"/>
    </row>
    <row r="6" spans="1:9" s="13" customFormat="1" ht="13">
      <c r="A6" s="29"/>
      <c r="B6" s="30"/>
      <c r="C6" s="18" t="e">
        <f ca="1">SUM(C16:C833)</f>
        <v>#REF!</v>
      </c>
      <c r="D6" s="18" t="s">
        <v>1</v>
      </c>
      <c r="E6" s="10"/>
      <c r="F6" s="10"/>
      <c r="G6" s="17"/>
      <c r="H6" s="51"/>
      <c r="I6" s="9"/>
    </row>
    <row r="7" spans="1:9" s="13" customFormat="1" ht="13">
      <c r="A7" s="29"/>
      <c r="B7" s="30"/>
      <c r="C7" s="18" t="e">
        <f ca="1">SUM(D16:D833)</f>
        <v>#REF!</v>
      </c>
      <c r="D7" s="18" t="s">
        <v>2</v>
      </c>
      <c r="E7" s="10"/>
      <c r="F7" s="10"/>
      <c r="G7" s="17"/>
      <c r="H7" s="51"/>
      <c r="I7" s="9"/>
    </row>
    <row r="8" spans="1:9" s="13" customFormat="1" ht="13">
      <c r="A8" s="29"/>
      <c r="B8" s="30"/>
      <c r="C8" s="18" t="e">
        <f ca="1">SUM(E16:E833)</f>
        <v>#REF!</v>
      </c>
      <c r="D8" s="18" t="s">
        <v>3</v>
      </c>
      <c r="E8" s="10"/>
      <c r="F8" s="10"/>
      <c r="G8" s="52"/>
      <c r="H8" s="51"/>
      <c r="I8" s="9"/>
    </row>
    <row r="9" spans="1:9" s="13" customFormat="1" ht="13">
      <c r="A9" s="29"/>
      <c r="B9" s="30"/>
      <c r="C9" s="18" t="e">
        <f ca="1">SUM(F16:F833)</f>
        <v>#REF!</v>
      </c>
      <c r="D9" s="18" t="s">
        <v>4</v>
      </c>
      <c r="E9" s="10"/>
      <c r="F9" s="10"/>
      <c r="G9" s="17"/>
      <c r="H9" s="51"/>
      <c r="I9" s="53"/>
    </row>
    <row r="10" spans="1:9" s="13" customFormat="1" ht="13">
      <c r="A10" s="29"/>
      <c r="B10" s="30"/>
      <c r="C10" s="18" t="e">
        <f ca="1">SUM(G16:G833)</f>
        <v>#REF!</v>
      </c>
      <c r="D10" s="18" t="s">
        <v>5</v>
      </c>
      <c r="E10" s="10"/>
      <c r="F10" s="10"/>
      <c r="G10" s="54"/>
      <c r="H10" s="51"/>
      <c r="I10" s="55"/>
    </row>
    <row r="11" spans="1:9" s="13" customFormat="1" ht="13">
      <c r="A11" s="29"/>
      <c r="B11" s="30"/>
      <c r="C11" s="19" t="e">
        <f ca="1">C7/C6</f>
        <v>#REF!</v>
      </c>
      <c r="D11" s="18" t="s">
        <v>6</v>
      </c>
      <c r="E11" s="10"/>
      <c r="F11" s="10"/>
      <c r="G11" s="10"/>
      <c r="H11" s="11"/>
      <c r="I11" s="12"/>
    </row>
    <row r="12" spans="1:9" s="13" customFormat="1" ht="13">
      <c r="A12" s="29"/>
      <c r="B12" s="30"/>
      <c r="C12" s="19" t="e">
        <f ca="1">C8/C6</f>
        <v>#REF!</v>
      </c>
      <c r="D12" s="20" t="s">
        <v>7</v>
      </c>
      <c r="E12" s="10"/>
      <c r="F12" s="10"/>
      <c r="G12" s="10"/>
      <c r="H12" s="11"/>
      <c r="I12" s="12"/>
    </row>
    <row r="13" spans="1:9" s="13" customFormat="1" ht="13">
      <c r="A13" s="29"/>
      <c r="B13" s="30"/>
      <c r="C13" s="19" t="e">
        <f ca="1">C10/C6</f>
        <v>#REF!</v>
      </c>
      <c r="D13" s="8" t="s">
        <v>8</v>
      </c>
      <c r="E13" s="10"/>
      <c r="F13" s="10"/>
      <c r="G13" s="10"/>
      <c r="H13" s="11"/>
      <c r="I13" s="12"/>
    </row>
    <row r="14" spans="1:9" s="7" customFormat="1" ht="14">
      <c r="A14" s="27"/>
      <c r="B14" s="28"/>
      <c r="C14" s="4"/>
      <c r="D14" s="4"/>
      <c r="E14" s="4"/>
      <c r="F14" s="4"/>
      <c r="G14" s="4"/>
      <c r="H14" s="5"/>
      <c r="I14" s="6"/>
    </row>
    <row r="15" spans="1:9" s="13" customFormat="1" ht="13">
      <c r="A15" s="29"/>
      <c r="B15" s="30"/>
      <c r="C15" s="14" t="s">
        <v>1</v>
      </c>
      <c r="D15" s="14" t="s">
        <v>2</v>
      </c>
      <c r="E15" s="14" t="s">
        <v>3</v>
      </c>
      <c r="F15" s="14" t="s">
        <v>4</v>
      </c>
      <c r="G15" s="14" t="s">
        <v>5</v>
      </c>
      <c r="H15" s="15" t="s">
        <v>9</v>
      </c>
      <c r="I15" s="16" t="s">
        <v>10</v>
      </c>
    </row>
    <row r="16" spans="1:9" s="13" customFormat="1" ht="12.75" customHeight="1">
      <c r="A16" s="31" t="s">
        <v>11</v>
      </c>
      <c r="B16" s="32" t="s">
        <v>12</v>
      </c>
      <c r="C16" s="18" t="e">
        <f t="shared" ref="C16:C25" ca="1" si="0">INDIRECT("'"&amp;$A16&amp;" "&amp;$B16&amp;"'!C3")</f>
        <v>#REF!</v>
      </c>
      <c r="D16" s="18" t="e">
        <f t="shared" ref="D16:D25" ca="1" si="1">INDIRECT("'"&amp;$A16&amp;" "&amp;$B16&amp;"'!C4")</f>
        <v>#REF!</v>
      </c>
      <c r="E16" s="18" t="e">
        <f t="shared" ref="E16:E25" ca="1" si="2">INDIRECT("'"&amp;$A16&amp;" "&amp;$B16&amp;"'!C5")</f>
        <v>#REF!</v>
      </c>
      <c r="F16" s="18" t="e">
        <f t="shared" ref="F16:F25" ca="1" si="3">INDIRECT("'"&amp;$A16&amp;" "&amp;$B16&amp;"'!C6")</f>
        <v>#REF!</v>
      </c>
      <c r="G16" s="18" t="e">
        <f t="shared" ref="G16:G25" ca="1" si="4">INDIRECT("'"&amp;$A16&amp;" "&amp;$B16&amp;"'!C7")</f>
        <v>#REF!</v>
      </c>
      <c r="H16" s="19" t="e">
        <f t="shared" ref="H16:H21" ca="1" si="5">G16/C16</f>
        <v>#REF!</v>
      </c>
      <c r="I16" s="8"/>
    </row>
    <row r="17" spans="1:9" s="13" customFormat="1" ht="12.75" customHeight="1">
      <c r="A17" s="31" t="s">
        <v>13</v>
      </c>
      <c r="B17" s="32" t="s">
        <v>14</v>
      </c>
      <c r="C17" s="18" t="e">
        <f t="shared" ca="1" si="0"/>
        <v>#REF!</v>
      </c>
      <c r="D17" s="18" t="e">
        <f t="shared" ca="1" si="1"/>
        <v>#REF!</v>
      </c>
      <c r="E17" s="18" t="e">
        <f t="shared" ca="1" si="2"/>
        <v>#REF!</v>
      </c>
      <c r="F17" s="18" t="e">
        <f t="shared" ca="1" si="3"/>
        <v>#REF!</v>
      </c>
      <c r="G17" s="18" t="e">
        <f t="shared" ca="1" si="4"/>
        <v>#REF!</v>
      </c>
      <c r="H17" s="19" t="e">
        <f t="shared" ca="1" si="5"/>
        <v>#REF!</v>
      </c>
      <c r="I17" s="8"/>
    </row>
    <row r="18" spans="1:9" s="13" customFormat="1" ht="12.75" customHeight="1">
      <c r="A18" s="31" t="s">
        <v>15</v>
      </c>
      <c r="B18" s="32" t="s">
        <v>16</v>
      </c>
      <c r="C18" s="18" t="e">
        <f t="shared" ca="1" si="0"/>
        <v>#REF!</v>
      </c>
      <c r="D18" s="18" t="e">
        <f t="shared" ca="1" si="1"/>
        <v>#REF!</v>
      </c>
      <c r="E18" s="18" t="e">
        <f t="shared" ca="1" si="2"/>
        <v>#REF!</v>
      </c>
      <c r="F18" s="18" t="e">
        <f t="shared" ca="1" si="3"/>
        <v>#REF!</v>
      </c>
      <c r="G18" s="18" t="e">
        <f t="shared" ca="1" si="4"/>
        <v>#REF!</v>
      </c>
      <c r="H18" s="19" t="e">
        <f t="shared" ca="1" si="5"/>
        <v>#REF!</v>
      </c>
      <c r="I18" s="8"/>
    </row>
    <row r="19" spans="1:9" s="13" customFormat="1" ht="12.75" customHeight="1">
      <c r="A19" s="31" t="s">
        <v>17</v>
      </c>
      <c r="B19" s="32" t="s">
        <v>18</v>
      </c>
      <c r="C19" s="18" t="e">
        <f t="shared" ca="1" si="0"/>
        <v>#REF!</v>
      </c>
      <c r="D19" s="18" t="e">
        <f t="shared" ca="1" si="1"/>
        <v>#REF!</v>
      </c>
      <c r="E19" s="18" t="e">
        <f t="shared" ca="1" si="2"/>
        <v>#REF!</v>
      </c>
      <c r="F19" s="18" t="e">
        <f t="shared" ca="1" si="3"/>
        <v>#REF!</v>
      </c>
      <c r="G19" s="18" t="e">
        <f t="shared" ca="1" si="4"/>
        <v>#REF!</v>
      </c>
      <c r="H19" s="19" t="e">
        <f t="shared" ca="1" si="5"/>
        <v>#REF!</v>
      </c>
      <c r="I19" s="8"/>
    </row>
    <row r="20" spans="1:9" s="13" customFormat="1" ht="12.75" customHeight="1">
      <c r="A20" s="31" t="s">
        <v>19</v>
      </c>
      <c r="B20" s="32" t="s">
        <v>20</v>
      </c>
      <c r="C20" s="18" t="e">
        <f t="shared" ca="1" si="0"/>
        <v>#REF!</v>
      </c>
      <c r="D20" s="18" t="e">
        <f t="shared" ca="1" si="1"/>
        <v>#REF!</v>
      </c>
      <c r="E20" s="18" t="e">
        <f t="shared" ca="1" si="2"/>
        <v>#REF!</v>
      </c>
      <c r="F20" s="18" t="e">
        <f t="shared" ca="1" si="3"/>
        <v>#REF!</v>
      </c>
      <c r="G20" s="18" t="e">
        <f t="shared" ca="1" si="4"/>
        <v>#REF!</v>
      </c>
      <c r="H20" s="19" t="e">
        <f t="shared" ca="1" si="5"/>
        <v>#REF!</v>
      </c>
      <c r="I20" s="8"/>
    </row>
    <row r="21" spans="1:9" s="13" customFormat="1" ht="12.75" customHeight="1">
      <c r="A21" s="31" t="s">
        <v>21</v>
      </c>
      <c r="B21" s="32" t="s">
        <v>22</v>
      </c>
      <c r="C21" s="18" t="e">
        <f t="shared" ca="1" si="0"/>
        <v>#REF!</v>
      </c>
      <c r="D21" s="18" t="e">
        <f t="shared" ca="1" si="1"/>
        <v>#REF!</v>
      </c>
      <c r="E21" s="18" t="e">
        <f t="shared" ca="1" si="2"/>
        <v>#REF!</v>
      </c>
      <c r="F21" s="18" t="e">
        <f t="shared" ca="1" si="3"/>
        <v>#REF!</v>
      </c>
      <c r="G21" s="18" t="e">
        <f t="shared" ca="1" si="4"/>
        <v>#REF!</v>
      </c>
      <c r="H21" s="19" t="e">
        <f t="shared" ca="1" si="5"/>
        <v>#REF!</v>
      </c>
      <c r="I21" s="8"/>
    </row>
    <row r="22" spans="1:9" s="13" customFormat="1" ht="12.75" customHeight="1">
      <c r="A22" s="31" t="s">
        <v>23</v>
      </c>
      <c r="B22" s="32" t="s">
        <v>24</v>
      </c>
      <c r="C22" s="18" t="e">
        <f t="shared" ca="1" si="0"/>
        <v>#REF!</v>
      </c>
      <c r="D22" s="18" t="e">
        <f t="shared" ca="1" si="1"/>
        <v>#REF!</v>
      </c>
      <c r="E22" s="18" t="e">
        <f t="shared" ca="1" si="2"/>
        <v>#REF!</v>
      </c>
      <c r="F22" s="18" t="e">
        <f t="shared" ca="1" si="3"/>
        <v>#REF!</v>
      </c>
      <c r="G22" s="18" t="e">
        <f t="shared" ca="1" si="4"/>
        <v>#REF!</v>
      </c>
      <c r="H22" s="19" t="e">
        <f ca="1">G22/C22</f>
        <v>#REF!</v>
      </c>
      <c r="I22" s="8"/>
    </row>
    <row r="23" spans="1:9" s="13" customFormat="1" ht="12.75" customHeight="1">
      <c r="A23" s="31" t="s">
        <v>25</v>
      </c>
      <c r="B23" s="32" t="s">
        <v>26</v>
      </c>
      <c r="C23" s="18" t="e">
        <f t="shared" ca="1" si="0"/>
        <v>#REF!</v>
      </c>
      <c r="D23" s="18" t="e">
        <f t="shared" ca="1" si="1"/>
        <v>#REF!</v>
      </c>
      <c r="E23" s="18" t="e">
        <f t="shared" ca="1" si="2"/>
        <v>#REF!</v>
      </c>
      <c r="F23" s="18" t="e">
        <f t="shared" ca="1" si="3"/>
        <v>#REF!</v>
      </c>
      <c r="G23" s="18" t="e">
        <f t="shared" ca="1" si="4"/>
        <v>#REF!</v>
      </c>
      <c r="H23" s="19" t="e">
        <f ca="1">G23/C23</f>
        <v>#REF!</v>
      </c>
      <c r="I23" s="8"/>
    </row>
    <row r="24" spans="1:9" s="13" customFormat="1" ht="12.75" customHeight="1">
      <c r="A24" s="31" t="s">
        <v>27</v>
      </c>
      <c r="B24" s="32" t="s">
        <v>28</v>
      </c>
      <c r="C24" s="18" t="e">
        <f t="shared" ca="1" si="0"/>
        <v>#REF!</v>
      </c>
      <c r="D24" s="18" t="e">
        <f t="shared" ca="1" si="1"/>
        <v>#REF!</v>
      </c>
      <c r="E24" s="18" t="e">
        <f t="shared" ca="1" si="2"/>
        <v>#REF!</v>
      </c>
      <c r="F24" s="18" t="e">
        <f t="shared" ca="1" si="3"/>
        <v>#REF!</v>
      </c>
      <c r="G24" s="18" t="e">
        <f t="shared" ca="1" si="4"/>
        <v>#REF!</v>
      </c>
      <c r="H24" s="19" t="e">
        <f ca="1">G24/C24</f>
        <v>#REF!</v>
      </c>
      <c r="I24" s="8"/>
    </row>
    <row r="25" spans="1:9" s="13" customFormat="1" ht="12.75" customHeight="1">
      <c r="A25" s="31" t="s">
        <v>29</v>
      </c>
      <c r="B25" s="32" t="s">
        <v>30</v>
      </c>
      <c r="C25" s="18" t="e">
        <f t="shared" ca="1" si="0"/>
        <v>#REF!</v>
      </c>
      <c r="D25" s="18" t="e">
        <f t="shared" ca="1" si="1"/>
        <v>#REF!</v>
      </c>
      <c r="E25" s="18" t="e">
        <f t="shared" ca="1" si="2"/>
        <v>#REF!</v>
      </c>
      <c r="F25" s="18" t="e">
        <f t="shared" ca="1" si="3"/>
        <v>#REF!</v>
      </c>
      <c r="G25" s="18" t="e">
        <f t="shared" ca="1" si="4"/>
        <v>#REF!</v>
      </c>
      <c r="H25" s="19" t="e">
        <f ca="1">G25/C25</f>
        <v>#REF!</v>
      </c>
      <c r="I25" s="8"/>
    </row>
    <row r="26" spans="1:9" s="13" customFormat="1" ht="13">
      <c r="A26" s="29"/>
      <c r="B26" s="30"/>
      <c r="C26" s="10"/>
      <c r="D26" s="10"/>
      <c r="E26" s="10"/>
      <c r="F26" s="10"/>
      <c r="G26" s="10"/>
      <c r="H26" s="21"/>
      <c r="I26" s="12"/>
    </row>
    <row r="27" spans="1:9" s="43" customFormat="1" ht="13">
      <c r="A27" s="34" t="s">
        <v>31</v>
      </c>
      <c r="B27" s="33"/>
      <c r="C27" s="112" t="s">
        <v>32</v>
      </c>
      <c r="D27" s="113"/>
      <c r="E27" s="113"/>
      <c r="F27" s="113"/>
      <c r="G27" s="114"/>
      <c r="H27" s="41" t="s">
        <v>33</v>
      </c>
      <c r="I27" s="42" t="s">
        <v>34</v>
      </c>
    </row>
    <row r="28" spans="1:9" s="43" customFormat="1" ht="13">
      <c r="A28" s="35">
        <v>1</v>
      </c>
      <c r="B28" s="30"/>
      <c r="C28" s="29"/>
      <c r="D28" s="29"/>
      <c r="E28" s="29"/>
      <c r="F28" s="29"/>
      <c r="G28" s="44"/>
      <c r="H28" s="44"/>
      <c r="I28" s="45"/>
    </row>
    <row r="29" spans="1:9" s="43" customFormat="1" ht="13">
      <c r="A29" s="35"/>
      <c r="B29" s="30"/>
      <c r="C29" s="29"/>
      <c r="D29" s="29"/>
      <c r="E29" s="29"/>
      <c r="F29" s="29"/>
      <c r="G29" s="44"/>
      <c r="H29" s="44"/>
      <c r="I29" s="45"/>
    </row>
    <row r="30" spans="1:9" s="43" customFormat="1" ht="13">
      <c r="A30" s="35"/>
      <c r="B30" s="30"/>
      <c r="C30" s="29"/>
      <c r="D30" s="29"/>
      <c r="E30" s="29"/>
      <c r="F30" s="29"/>
      <c r="G30" s="44"/>
      <c r="H30" s="44"/>
      <c r="I30" s="45"/>
    </row>
    <row r="31" spans="1:9" s="43" customFormat="1" ht="13">
      <c r="A31" s="35"/>
      <c r="B31" s="30"/>
      <c r="C31" s="29"/>
      <c r="D31" s="29"/>
      <c r="E31" s="29"/>
      <c r="F31" s="29"/>
      <c r="G31" s="44"/>
      <c r="H31" s="44"/>
      <c r="I31" s="45"/>
    </row>
    <row r="32" spans="1:9" s="43" customFormat="1" ht="13">
      <c r="A32" s="35"/>
      <c r="B32" s="30"/>
      <c r="C32" s="29"/>
      <c r="D32" s="29"/>
      <c r="E32" s="29"/>
      <c r="F32" s="29"/>
      <c r="G32" s="44"/>
      <c r="H32" s="44"/>
      <c r="I32" s="45"/>
    </row>
    <row r="33" spans="1:9" s="43" customFormat="1" ht="13">
      <c r="A33" s="35"/>
      <c r="B33" s="30"/>
      <c r="C33" s="29"/>
      <c r="D33" s="29"/>
      <c r="E33" s="29"/>
      <c r="F33" s="29"/>
      <c r="G33" s="44"/>
      <c r="H33" s="44"/>
      <c r="I33" s="45"/>
    </row>
    <row r="34" spans="1:9" s="43" customFormat="1" ht="13">
      <c r="A34" s="35"/>
      <c r="B34" s="30"/>
      <c r="C34" s="29"/>
      <c r="D34" s="29"/>
      <c r="E34" s="29"/>
      <c r="F34" s="29"/>
      <c r="G34" s="44"/>
      <c r="H34" s="44"/>
      <c r="I34" s="45"/>
    </row>
    <row r="35" spans="1:9" s="43" customFormat="1" ht="13">
      <c r="A35" s="35"/>
      <c r="B35" s="30"/>
      <c r="C35" s="29"/>
      <c r="D35" s="29"/>
      <c r="E35" s="29"/>
      <c r="F35" s="29"/>
      <c r="G35" s="44"/>
      <c r="H35" s="44"/>
      <c r="I35" s="45"/>
    </row>
    <row r="36" spans="1:9" s="43" customFormat="1" ht="13">
      <c r="A36" s="35"/>
      <c r="B36" s="30"/>
      <c r="C36" s="29"/>
      <c r="D36" s="29"/>
      <c r="E36" s="29"/>
      <c r="F36" s="29"/>
      <c r="G36" s="44"/>
      <c r="H36" s="44"/>
      <c r="I36" s="45"/>
    </row>
    <row r="37" spans="1:9" s="43" customFormat="1" ht="13">
      <c r="A37" s="35"/>
      <c r="B37" s="30"/>
      <c r="C37" s="29"/>
      <c r="D37" s="29"/>
      <c r="E37" s="29"/>
      <c r="F37" s="29"/>
      <c r="G37" s="44"/>
      <c r="H37" s="44"/>
      <c r="I37" s="45"/>
    </row>
    <row r="38" spans="1:9" s="43" customFormat="1" ht="13">
      <c r="A38" s="35"/>
      <c r="B38" s="30"/>
      <c r="C38" s="29"/>
      <c r="D38" s="29"/>
      <c r="E38" s="29"/>
      <c r="F38" s="29"/>
      <c r="G38" s="44"/>
      <c r="H38" s="44"/>
      <c r="I38" s="45"/>
    </row>
    <row r="39" spans="1:9" s="43" customFormat="1" ht="13">
      <c r="A39" s="35"/>
      <c r="B39" s="30"/>
      <c r="C39" s="29"/>
      <c r="D39" s="29"/>
      <c r="E39" s="29"/>
      <c r="F39" s="29"/>
      <c r="G39" s="44"/>
      <c r="H39" s="44"/>
      <c r="I39" s="45"/>
    </row>
    <row r="40" spans="1:9" s="43" customFormat="1" ht="13">
      <c r="A40" s="35"/>
      <c r="B40" s="30"/>
      <c r="C40" s="29"/>
      <c r="D40" s="29"/>
      <c r="E40" s="29"/>
      <c r="F40" s="29"/>
      <c r="G40" s="44"/>
      <c r="H40" s="44"/>
      <c r="I40" s="45"/>
    </row>
    <row r="41" spans="1:9" s="43" customFormat="1" ht="13">
      <c r="A41" s="35"/>
      <c r="B41" s="30"/>
      <c r="C41" s="29"/>
      <c r="D41" s="29"/>
      <c r="E41" s="29"/>
      <c r="F41" s="29"/>
      <c r="G41" s="44"/>
      <c r="H41" s="44"/>
      <c r="I41" s="45"/>
    </row>
    <row r="42" spans="1:9" s="43" customFormat="1" ht="13">
      <c r="A42" s="35"/>
      <c r="B42" s="30"/>
      <c r="C42" s="29"/>
      <c r="D42" s="29"/>
      <c r="E42" s="29"/>
      <c r="F42" s="29"/>
      <c r="G42" s="44"/>
      <c r="H42" s="44"/>
      <c r="I42" s="45"/>
    </row>
    <row r="43" spans="1:9" s="43" customFormat="1" ht="13">
      <c r="A43" s="35"/>
      <c r="B43" s="30"/>
      <c r="C43" s="29"/>
      <c r="D43" s="29"/>
      <c r="E43" s="29"/>
      <c r="F43" s="29"/>
      <c r="G43" s="44"/>
      <c r="H43" s="44"/>
      <c r="I43" s="45"/>
    </row>
    <row r="44" spans="1:9" s="43" customFormat="1" ht="13">
      <c r="A44" s="35"/>
      <c r="B44" s="30"/>
      <c r="C44" s="29"/>
      <c r="D44" s="29"/>
      <c r="E44" s="29"/>
      <c r="F44" s="29"/>
      <c r="G44" s="44"/>
      <c r="H44" s="44"/>
      <c r="I44" s="45"/>
    </row>
    <row r="45" spans="1:9" s="43" customFormat="1" ht="13">
      <c r="A45" s="35"/>
      <c r="B45" s="30"/>
      <c r="C45" s="29"/>
      <c r="D45" s="29"/>
      <c r="E45" s="29"/>
      <c r="F45" s="29"/>
      <c r="G45" s="44"/>
      <c r="H45" s="44"/>
      <c r="I45" s="45"/>
    </row>
    <row r="46" spans="1:9" s="43" customFormat="1" ht="13">
      <c r="A46" s="35"/>
      <c r="B46" s="30"/>
      <c r="C46" s="29"/>
      <c r="D46" s="29"/>
      <c r="E46" s="29"/>
      <c r="F46" s="29"/>
      <c r="G46" s="44"/>
      <c r="H46" s="44"/>
      <c r="I46" s="45"/>
    </row>
    <row r="47" spans="1:9" s="43" customFormat="1" ht="13">
      <c r="A47" s="35"/>
      <c r="B47" s="30"/>
      <c r="C47" s="29"/>
      <c r="D47" s="29"/>
      <c r="E47" s="29"/>
      <c r="F47" s="29"/>
      <c r="G47" s="44"/>
      <c r="H47" s="44"/>
      <c r="I47" s="45"/>
    </row>
    <row r="48" spans="1:9" s="43" customFormat="1" ht="13">
      <c r="A48" s="35"/>
      <c r="B48" s="30"/>
      <c r="C48" s="29"/>
      <c r="D48" s="29"/>
      <c r="E48" s="29"/>
      <c r="F48" s="29"/>
      <c r="G48" s="44"/>
      <c r="H48" s="44"/>
      <c r="I48" s="45"/>
    </row>
    <row r="49" spans="1:9" s="43" customFormat="1" ht="13">
      <c r="A49" s="35"/>
      <c r="B49" s="30"/>
      <c r="C49" s="29"/>
      <c r="D49" s="29"/>
      <c r="E49" s="29"/>
      <c r="F49" s="29"/>
      <c r="G49" s="44"/>
      <c r="H49" s="44"/>
      <c r="I49" s="45"/>
    </row>
    <row r="50" spans="1:9" s="43" customFormat="1" ht="13">
      <c r="A50" s="35"/>
      <c r="B50" s="30"/>
      <c r="C50" s="29"/>
      <c r="D50" s="29"/>
      <c r="E50" s="29"/>
      <c r="F50" s="29"/>
      <c r="G50" s="44"/>
      <c r="H50" s="44"/>
      <c r="I50" s="45"/>
    </row>
    <row r="51" spans="1:9" s="43" customFormat="1" ht="13">
      <c r="A51" s="35"/>
      <c r="B51" s="30"/>
      <c r="C51" s="29"/>
      <c r="D51" s="29"/>
      <c r="E51" s="29"/>
      <c r="F51" s="29"/>
      <c r="G51" s="44"/>
      <c r="H51" s="44"/>
      <c r="I51" s="45"/>
    </row>
    <row r="52" spans="1:9" s="43" customFormat="1" ht="13">
      <c r="A52" s="35"/>
      <c r="B52" s="30"/>
      <c r="C52" s="29"/>
      <c r="D52" s="29"/>
      <c r="E52" s="29"/>
      <c r="F52" s="29"/>
      <c r="G52" s="44"/>
      <c r="H52" s="44"/>
      <c r="I52" s="45"/>
    </row>
    <row r="53" spans="1:9" s="43" customFormat="1" ht="13">
      <c r="A53" s="35"/>
      <c r="B53" s="30"/>
      <c r="C53" s="29"/>
      <c r="D53" s="29"/>
      <c r="E53" s="29"/>
      <c r="F53" s="29"/>
      <c r="G53" s="44"/>
      <c r="H53" s="44"/>
      <c r="I53" s="45"/>
    </row>
    <row r="54" spans="1:9" s="43" customFormat="1" ht="13">
      <c r="A54" s="35"/>
      <c r="B54" s="30"/>
      <c r="C54" s="29"/>
      <c r="D54" s="29"/>
      <c r="E54" s="29"/>
      <c r="F54" s="29"/>
      <c r="G54" s="44"/>
      <c r="H54" s="44"/>
      <c r="I54" s="45"/>
    </row>
    <row r="55" spans="1:9" s="43" customFormat="1" ht="13">
      <c r="A55" s="35"/>
      <c r="B55" s="30"/>
      <c r="C55" s="29"/>
      <c r="D55" s="29"/>
      <c r="E55" s="29"/>
      <c r="F55" s="29"/>
      <c r="G55" s="44"/>
      <c r="H55" s="44"/>
      <c r="I55" s="45"/>
    </row>
    <row r="56" spans="1:9" s="43" customFormat="1" ht="13">
      <c r="A56" s="35"/>
      <c r="B56" s="30"/>
      <c r="C56" s="29"/>
      <c r="D56" s="29"/>
      <c r="E56" s="29"/>
      <c r="F56" s="29"/>
      <c r="G56" s="44"/>
      <c r="H56" s="44"/>
      <c r="I56" s="45"/>
    </row>
    <row r="57" spans="1:9" s="43" customFormat="1" ht="13">
      <c r="A57" s="35"/>
      <c r="B57" s="30"/>
      <c r="C57" s="29"/>
      <c r="D57" s="29"/>
      <c r="E57" s="29"/>
      <c r="F57" s="29"/>
      <c r="G57" s="44"/>
      <c r="H57" s="44"/>
      <c r="I57" s="45"/>
    </row>
    <row r="58" spans="1:9" s="43" customFormat="1" ht="13">
      <c r="A58" s="35"/>
      <c r="B58" s="30"/>
      <c r="C58" s="29"/>
      <c r="D58" s="29"/>
      <c r="E58" s="29"/>
      <c r="F58" s="29"/>
      <c r="G58" s="44"/>
      <c r="H58" s="44"/>
      <c r="I58" s="45"/>
    </row>
    <row r="59" spans="1:9" s="43" customFormat="1" ht="13">
      <c r="A59" s="35"/>
      <c r="B59" s="30"/>
      <c r="C59" s="29"/>
      <c r="D59" s="29"/>
      <c r="E59" s="29"/>
      <c r="F59" s="29"/>
      <c r="G59" s="44"/>
      <c r="H59" s="44"/>
      <c r="I59" s="45"/>
    </row>
    <row r="60" spans="1:9" s="43" customFormat="1" ht="13">
      <c r="A60" s="35"/>
      <c r="B60" s="30"/>
      <c r="C60" s="29"/>
      <c r="D60" s="29"/>
      <c r="E60" s="29"/>
      <c r="F60" s="29"/>
      <c r="G60" s="44"/>
      <c r="H60" s="44"/>
      <c r="I60" s="45"/>
    </row>
  </sheetData>
  <sheetProtection insertRows="0" deleteRows="0" sort="0" autoFilter="0"/>
  <mergeCells count="1">
    <mergeCell ref="C27:G27"/>
  </mergeCells>
  <conditionalFormatting sqref="A16:I25">
    <cfRule type="expression" dxfId="5" priority="10" stopIfTrue="1">
      <formula>$H16=100%</formula>
    </cfRule>
    <cfRule type="expression" dxfId="4" priority="11" stopIfTrue="1">
      <formula>$H16&gt;49%</formula>
    </cfRule>
    <cfRule type="expression" dxfId="3" priority="12" stopIfTrue="1">
      <formula>$H16&lt;50%</formula>
    </cfRule>
  </conditionalFormatting>
  <conditionalFormatting sqref="C13:D13">
    <cfRule type="expression" dxfId="2" priority="1" stopIfTrue="1">
      <formula>$C13=100%</formula>
    </cfRule>
    <cfRule type="expression" dxfId="1" priority="2" stopIfTrue="1">
      <formula>$C13&gt;49%</formula>
    </cfRule>
    <cfRule type="expression" dxfId="0" priority="3" stopIfTrue="1">
      <formula>$C13&lt;50%</formula>
    </cfRule>
  </conditionalFormatting>
  <dataValidations count="1">
    <dataValidation type="custom" allowBlank="1" showInputMessage="1" showErrorMessage="1" error="formula result - no data entry allowed" sqref="C6:C13 C27:G971 C16:H25">
      <formula1>"Formula result - no data entry allowed"</formula1>
    </dataValidation>
  </dataValidations>
  <pageMargins left="0.34722222222222221" right="0.34722222222222221" top="1.2" bottom="1" header="0.35" footer="0.35"/>
  <pageSetup pageOrder="overThenDown" orientation="landscape" r:id="rId1"/>
  <headerFooter alignWithMargins="0">
    <oddHeader>&amp;L&amp;G&amp;R&amp;"Arial,Regular"&amp;10&amp;A</oddHeader>
    <oddFooter>&amp;L&amp;"Arial,Regular"&amp;9&amp;D&amp;C&amp;"Arial,Regular"&amp;9&amp;F&amp;R&amp;"Arial,Regular"&amp;9&amp;P</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zoomScale="90" zoomScaleNormal="90" workbookViewId="0">
      <selection activeCell="C10" sqref="C10"/>
    </sheetView>
  </sheetViews>
  <sheetFormatPr defaultColWidth="8.81640625" defaultRowHeight="12.5"/>
  <cols>
    <col min="1" max="1" width="3.453125" style="60" customWidth="1"/>
    <col min="2" max="2" width="19.453125" style="60" customWidth="1"/>
    <col min="3" max="3" width="106" style="60" customWidth="1"/>
    <col min="4" max="4" width="4.453125" style="60" customWidth="1"/>
    <col min="5" max="16384" width="8.81640625" style="60"/>
  </cols>
  <sheetData>
    <row r="1" spans="1:4" s="57" customFormat="1" ht="12.75" customHeight="1">
      <c r="A1" s="56" t="s">
        <v>0</v>
      </c>
    </row>
    <row r="2" spans="1:4" s="59" customFormat="1" ht="12.75" customHeight="1" thickBot="1">
      <c r="A2" s="58" t="str">
        <f ca="1">"interpreted under the Freedom of Information Act and applicable case law. Copyright "&amp; YEAR(TODAY()) &amp;" by SS&amp;C Health"</f>
        <v>interpreted under the Freedom of Information Act and applicable case law. Copyright 2025 by SS&amp;C Health</v>
      </c>
    </row>
    <row r="3" spans="1:4" s="62" customFormat="1" ht="22.5">
      <c r="A3" s="60"/>
      <c r="B3" s="61"/>
      <c r="C3" s="61"/>
      <c r="D3" s="63"/>
    </row>
    <row r="4" spans="1:4" ht="18">
      <c r="A4" s="64"/>
      <c r="B4" s="65" t="s">
        <v>35</v>
      </c>
      <c r="C4" s="65" t="s">
        <v>74</v>
      </c>
    </row>
    <row r="5" spans="1:4" ht="18">
      <c r="A5" s="64"/>
      <c r="B5" s="115"/>
      <c r="C5" s="116"/>
    </row>
    <row r="6" spans="1:4" ht="18">
      <c r="A6" s="64"/>
      <c r="B6" s="65" t="s">
        <v>36</v>
      </c>
      <c r="C6" s="65" t="s">
        <v>37</v>
      </c>
    </row>
    <row r="7" spans="1:4" ht="18">
      <c r="A7" s="64"/>
      <c r="B7" s="117"/>
      <c r="C7" s="118"/>
    </row>
    <row r="8" spans="1:4" ht="18">
      <c r="A8" s="64"/>
      <c r="B8" s="65" t="s">
        <v>38</v>
      </c>
      <c r="C8" s="72"/>
    </row>
    <row r="9" spans="1:4" ht="18">
      <c r="A9" s="64"/>
      <c r="B9" s="117"/>
      <c r="C9" s="118"/>
    </row>
    <row r="10" spans="1:4" ht="18">
      <c r="A10" s="64"/>
      <c r="B10" s="65" t="s">
        <v>39</v>
      </c>
      <c r="C10" s="66" t="s">
        <v>71</v>
      </c>
    </row>
    <row r="11" spans="1:4" ht="18">
      <c r="A11" s="64"/>
      <c r="B11" s="117"/>
      <c r="C11" s="118"/>
    </row>
    <row r="12" spans="1:4" ht="18">
      <c r="A12" s="64"/>
      <c r="B12" s="65" t="s">
        <v>40</v>
      </c>
      <c r="C12" s="81" t="s">
        <v>75</v>
      </c>
    </row>
  </sheetData>
  <mergeCells count="4">
    <mergeCell ref="B5:C5"/>
    <mergeCell ref="B7:C7"/>
    <mergeCell ref="B9:C9"/>
    <mergeCell ref="B11:C11"/>
  </mergeCells>
  <pageMargins left="0.34722222222222221" right="0.34722222222222221" top="1.2" bottom="1" header="0.35" footer="0.35"/>
  <pageSetup orientation="landscape" r:id="rId1"/>
  <headerFooter alignWithMargins="0">
    <oddHeader>&amp;L&amp;G&amp;R&amp;"Arial,Regular"&amp;10&amp;A</oddHeader>
    <oddFooter>&amp;L&amp;"Arial,Regular"&amp;9&amp;D&amp;C&amp;"Arial,Regular"&amp;9&amp;F&amp;R&amp;"Arial,Regular"&amp;9&amp;P</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tabSelected="1" topLeftCell="B19" zoomScaleNormal="100" workbookViewId="0">
      <selection activeCell="C24" sqref="C24"/>
    </sheetView>
  </sheetViews>
  <sheetFormatPr defaultColWidth="9.1796875" defaultRowHeight="11.5"/>
  <cols>
    <col min="1" max="1" width="10" style="82" customWidth="1"/>
    <col min="2" max="2" width="17.81640625" style="84" customWidth="1"/>
    <col min="3" max="3" width="13.453125" style="82" bestFit="1" customWidth="1"/>
    <col min="4" max="4" width="46.453125" style="82" hidden="1" customWidth="1"/>
    <col min="5" max="5" width="55.26953125" style="84" customWidth="1"/>
    <col min="6" max="6" width="50.81640625" style="86" customWidth="1"/>
    <col min="7" max="7" width="26.54296875" style="84" customWidth="1"/>
    <col min="8" max="8" width="33.54296875" style="94" customWidth="1"/>
    <col min="9" max="10" width="39.453125" style="84" customWidth="1"/>
    <col min="11" max="11" width="23.453125" style="84" customWidth="1"/>
    <col min="12" max="12" width="4.81640625" style="84" bestFit="1" customWidth="1"/>
    <col min="13" max="13" width="6.54296875" style="84" bestFit="1" customWidth="1"/>
    <col min="14" max="14" width="4.81640625" style="84" bestFit="1" customWidth="1"/>
    <col min="15" max="15" width="13.453125" style="84" bestFit="1" customWidth="1"/>
    <col min="16" max="16384" width="9.1796875" style="84"/>
  </cols>
  <sheetData>
    <row r="1" spans="1:15" s="83" customFormat="1">
      <c r="A1" s="119" t="s">
        <v>0</v>
      </c>
      <c r="B1" s="120"/>
      <c r="C1" s="120"/>
      <c r="D1" s="120"/>
      <c r="E1" s="121"/>
      <c r="F1" s="86"/>
      <c r="H1" s="94"/>
    </row>
    <row r="2" spans="1:15" s="83" customFormat="1">
      <c r="A2" s="122" t="str">
        <f ca="1">"interpreted under the Freedom of Information Act and applicable case law. Copyright "&amp; YEAR(TODAY()) &amp;" by DST Pharmacy Solutions, Inc."</f>
        <v>interpreted under the Freedom of Information Act and applicable case law. Copyright 2025 by DST Pharmacy Solutions, Inc.</v>
      </c>
      <c r="B2" s="123"/>
      <c r="C2" s="123"/>
      <c r="D2" s="123"/>
      <c r="E2" s="124"/>
      <c r="F2" s="86"/>
      <c r="H2" s="94"/>
    </row>
    <row r="3" spans="1:15" s="47" customFormat="1">
      <c r="A3" s="74"/>
      <c r="B3" s="48" t="s">
        <v>41</v>
      </c>
      <c r="C3" s="79" t="e">
        <f>INDEX(#REF!, LOOKUP(2, 1/(#REF!&lt;&gt;0), ROW(#REF!) - ROW(#REF!) + 1))</f>
        <v>#REF!</v>
      </c>
      <c r="D3" s="74" t="s">
        <v>42</v>
      </c>
      <c r="F3" s="90"/>
      <c r="H3" s="95"/>
    </row>
    <row r="4" spans="1:15" s="47" customFormat="1">
      <c r="A4" s="74"/>
      <c r="B4" s="48" t="s">
        <v>43</v>
      </c>
      <c r="C4" s="79">
        <f>COUNTIFS(M9:M10,"Pass")</f>
        <v>0</v>
      </c>
      <c r="D4" s="74"/>
      <c r="F4" s="90"/>
      <c r="H4" s="95"/>
    </row>
    <row r="5" spans="1:15" s="47" customFormat="1">
      <c r="A5" s="74"/>
      <c r="B5" s="48" t="s">
        <v>44</v>
      </c>
      <c r="C5" s="79">
        <f>COUNTIFS(M9:M10,"Fail")</f>
        <v>0</v>
      </c>
      <c r="D5" s="74"/>
      <c r="F5" s="90"/>
      <c r="H5" s="95"/>
    </row>
    <row r="6" spans="1:15" s="47" customFormat="1">
      <c r="A6" s="74"/>
      <c r="B6" s="48" t="s">
        <v>45</v>
      </c>
      <c r="C6" s="79">
        <f>COUNTIFS(M9:M10,"N/A")</f>
        <v>0</v>
      </c>
      <c r="D6" s="74"/>
      <c r="F6" s="90"/>
      <c r="H6" s="95"/>
    </row>
    <row r="7" spans="1:15" s="47" customFormat="1">
      <c r="A7" s="74"/>
      <c r="B7" s="48" t="s">
        <v>46</v>
      </c>
      <c r="C7" s="79">
        <f>SUM(C4:C6)</f>
        <v>0</v>
      </c>
      <c r="D7" s="74"/>
      <c r="F7" s="90"/>
      <c r="H7" s="95"/>
    </row>
    <row r="8" spans="1:15" s="47" customFormat="1">
      <c r="A8" s="74"/>
      <c r="B8" s="48" t="s">
        <v>47</v>
      </c>
      <c r="C8" s="87" t="e">
        <f>C7/C3</f>
        <v>#REF!</v>
      </c>
      <c r="D8" s="74"/>
      <c r="F8" s="90"/>
      <c r="H8" s="95"/>
      <c r="O8" s="46"/>
    </row>
    <row r="9" spans="1:15" s="74" customFormat="1" ht="23">
      <c r="A9" s="75" t="s">
        <v>48</v>
      </c>
      <c r="B9" s="75" t="s">
        <v>49</v>
      </c>
      <c r="C9" s="77" t="s">
        <v>50</v>
      </c>
      <c r="D9" s="75" t="s">
        <v>51</v>
      </c>
      <c r="E9" s="75" t="s">
        <v>52</v>
      </c>
      <c r="F9" s="91" t="s">
        <v>53</v>
      </c>
      <c r="G9" s="75" t="s">
        <v>54</v>
      </c>
      <c r="H9" s="93" t="s">
        <v>55</v>
      </c>
      <c r="I9" s="78" t="s">
        <v>56</v>
      </c>
      <c r="J9" s="78" t="s">
        <v>127</v>
      </c>
      <c r="K9" s="75" t="s">
        <v>10</v>
      </c>
      <c r="L9" s="75" t="s">
        <v>57</v>
      </c>
      <c r="M9" s="75" t="s">
        <v>58</v>
      </c>
      <c r="N9" s="75" t="s">
        <v>59</v>
      </c>
      <c r="O9" s="75" t="s">
        <v>60</v>
      </c>
    </row>
    <row r="10" spans="1:15" s="49" customFormat="1" ht="69">
      <c r="A10" s="76" t="s">
        <v>61</v>
      </c>
      <c r="B10" s="49" t="s">
        <v>62</v>
      </c>
      <c r="C10" s="76" t="s">
        <v>63</v>
      </c>
      <c r="D10" s="80" t="s">
        <v>64</v>
      </c>
      <c r="E10" s="73" t="s">
        <v>65</v>
      </c>
      <c r="F10" s="92" t="s">
        <v>66</v>
      </c>
      <c r="G10" s="73" t="s">
        <v>67</v>
      </c>
      <c r="H10" s="96" t="s">
        <v>68</v>
      </c>
      <c r="I10" s="50"/>
      <c r="J10" s="50"/>
      <c r="K10" s="49" t="s">
        <v>10</v>
      </c>
      <c r="L10" s="49" t="s">
        <v>57</v>
      </c>
      <c r="M10" s="49" t="s">
        <v>69</v>
      </c>
      <c r="N10" s="49" t="s">
        <v>70</v>
      </c>
    </row>
    <row r="11" spans="1:15" ht="23">
      <c r="C11" s="82" t="s">
        <v>73</v>
      </c>
      <c r="D11" s="85" t="s">
        <v>77</v>
      </c>
    </row>
    <row r="12" spans="1:15" ht="409.6">
      <c r="A12" s="106">
        <v>1</v>
      </c>
      <c r="C12" s="94" t="s">
        <v>154</v>
      </c>
      <c r="E12" s="83" t="s">
        <v>78</v>
      </c>
      <c r="F12" s="86" t="s">
        <v>112</v>
      </c>
      <c r="G12" s="99" t="s">
        <v>103</v>
      </c>
      <c r="H12" s="94" t="s">
        <v>128</v>
      </c>
      <c r="I12" s="104" t="s">
        <v>116</v>
      </c>
      <c r="J12" s="104" t="s">
        <v>129</v>
      </c>
      <c r="L12" s="98" t="s">
        <v>108</v>
      </c>
    </row>
    <row r="13" spans="1:15" ht="126.75" customHeight="1">
      <c r="A13" s="106">
        <v>2</v>
      </c>
      <c r="C13" s="82" t="s">
        <v>153</v>
      </c>
      <c r="E13" s="83" t="s">
        <v>86</v>
      </c>
      <c r="F13" s="85" t="s">
        <v>111</v>
      </c>
      <c r="G13" s="99" t="s">
        <v>103</v>
      </c>
      <c r="H13" s="94" t="s">
        <v>115</v>
      </c>
      <c r="I13" s="83" t="s">
        <v>150</v>
      </c>
      <c r="K13" s="83" t="s">
        <v>114</v>
      </c>
      <c r="L13" s="98" t="s">
        <v>108</v>
      </c>
    </row>
    <row r="14" spans="1:15" ht="144" customHeight="1">
      <c r="A14" s="106">
        <v>3</v>
      </c>
      <c r="C14" s="82" t="s">
        <v>152</v>
      </c>
      <c r="E14" s="83" t="s">
        <v>151</v>
      </c>
      <c r="F14" s="85" t="s">
        <v>113</v>
      </c>
      <c r="G14" s="99" t="s">
        <v>103</v>
      </c>
      <c r="H14" s="94" t="s">
        <v>102</v>
      </c>
      <c r="I14" s="111" t="s">
        <v>146</v>
      </c>
      <c r="K14" s="83" t="s">
        <v>145</v>
      </c>
      <c r="L14" s="98" t="s">
        <v>108</v>
      </c>
    </row>
    <row r="15" spans="1:15" ht="57.5" hidden="1">
      <c r="A15" s="106">
        <v>4</v>
      </c>
      <c r="C15" s="82" t="s">
        <v>79</v>
      </c>
      <c r="E15" s="83" t="s">
        <v>100</v>
      </c>
      <c r="F15" s="85" t="s">
        <v>99</v>
      </c>
      <c r="G15" s="99" t="s">
        <v>103</v>
      </c>
      <c r="I15" s="83"/>
    </row>
    <row r="16" spans="1:15" ht="57.5">
      <c r="A16" s="106">
        <v>4</v>
      </c>
      <c r="C16" s="82" t="s">
        <v>155</v>
      </c>
      <c r="E16" s="83" t="s">
        <v>82</v>
      </c>
      <c r="F16" s="85" t="s">
        <v>81</v>
      </c>
      <c r="G16" s="99" t="s">
        <v>103</v>
      </c>
      <c r="I16" s="83"/>
    </row>
    <row r="17" spans="1:15" ht="57.5">
      <c r="A17" s="106">
        <v>5</v>
      </c>
      <c r="C17" s="82" t="s">
        <v>156</v>
      </c>
      <c r="E17" s="83" t="s">
        <v>83</v>
      </c>
      <c r="F17" s="85" t="s">
        <v>81</v>
      </c>
      <c r="G17" s="99" t="s">
        <v>103</v>
      </c>
      <c r="I17" s="83"/>
    </row>
    <row r="18" spans="1:15" ht="170.25" customHeight="1">
      <c r="A18" s="106">
        <v>6</v>
      </c>
      <c r="C18" s="82" t="s">
        <v>157</v>
      </c>
      <c r="E18" s="83" t="s">
        <v>101</v>
      </c>
      <c r="F18" s="85" t="s">
        <v>142</v>
      </c>
      <c r="G18" s="99"/>
      <c r="H18" s="94" t="s">
        <v>141</v>
      </c>
      <c r="I18" s="84" t="s">
        <v>139</v>
      </c>
      <c r="J18" s="84" t="s">
        <v>140</v>
      </c>
    </row>
    <row r="19" spans="1:15" ht="138.75" customHeight="1">
      <c r="A19" s="106">
        <v>7</v>
      </c>
      <c r="C19" s="82" t="s">
        <v>158</v>
      </c>
      <c r="E19" s="83" t="s">
        <v>101</v>
      </c>
      <c r="F19" s="85" t="s">
        <v>143</v>
      </c>
      <c r="G19" s="99"/>
      <c r="I19" s="83" t="s">
        <v>139</v>
      </c>
      <c r="J19" s="83" t="s">
        <v>144</v>
      </c>
    </row>
    <row r="20" spans="1:15" ht="409.5">
      <c r="A20" s="106">
        <v>8</v>
      </c>
      <c r="C20" s="94" t="s">
        <v>159</v>
      </c>
      <c r="E20" s="83" t="s">
        <v>132</v>
      </c>
      <c r="F20" s="85" t="s">
        <v>104</v>
      </c>
      <c r="G20" s="99" t="s">
        <v>103</v>
      </c>
      <c r="H20" s="94" t="s">
        <v>149</v>
      </c>
      <c r="I20" s="83" t="s">
        <v>147</v>
      </c>
      <c r="J20" s="84" t="s">
        <v>148</v>
      </c>
      <c r="K20" s="83" t="s">
        <v>110</v>
      </c>
      <c r="L20" s="98" t="s">
        <v>108</v>
      </c>
    </row>
    <row r="21" spans="1:15" ht="103.5" hidden="1">
      <c r="A21" s="82">
        <v>8</v>
      </c>
      <c r="C21" s="82" t="s">
        <v>85</v>
      </c>
      <c r="E21" s="83" t="s">
        <v>135</v>
      </c>
      <c r="F21" s="85" t="s">
        <v>80</v>
      </c>
      <c r="G21" s="99" t="s">
        <v>103</v>
      </c>
      <c r="I21" s="83"/>
      <c r="K21" s="98" t="s">
        <v>109</v>
      </c>
    </row>
    <row r="22" spans="1:15" ht="149.5" hidden="1">
      <c r="A22" s="82">
        <v>9</v>
      </c>
      <c r="C22" s="82" t="s">
        <v>84</v>
      </c>
      <c r="E22" s="83" t="s">
        <v>134</v>
      </c>
      <c r="F22" s="85" t="s">
        <v>80</v>
      </c>
      <c r="G22" s="99" t="s">
        <v>103</v>
      </c>
      <c r="I22" s="83"/>
      <c r="K22" s="98" t="s">
        <v>109</v>
      </c>
    </row>
    <row r="23" spans="1:15" ht="409.5">
      <c r="A23" s="106">
        <v>8</v>
      </c>
      <c r="C23" s="94" t="s">
        <v>160</v>
      </c>
      <c r="E23" s="83" t="s">
        <v>133</v>
      </c>
      <c r="F23" s="85" t="s">
        <v>105</v>
      </c>
      <c r="G23" s="99" t="s">
        <v>103</v>
      </c>
      <c r="I23" s="100" t="s">
        <v>130</v>
      </c>
      <c r="J23" s="100" t="s">
        <v>106</v>
      </c>
    </row>
    <row r="24" spans="1:15" s="102" customFormat="1" ht="270.75" customHeight="1">
      <c r="A24" s="106">
        <v>10</v>
      </c>
      <c r="C24" s="82" t="s">
        <v>161</v>
      </c>
      <c r="D24" s="101"/>
      <c r="E24" s="83" t="s">
        <v>131</v>
      </c>
      <c r="F24" s="107" t="s">
        <v>136</v>
      </c>
      <c r="G24" s="99" t="s">
        <v>103</v>
      </c>
      <c r="H24" s="103" t="s">
        <v>137</v>
      </c>
      <c r="I24" s="100" t="s">
        <v>107</v>
      </c>
      <c r="J24" s="108" t="s">
        <v>138</v>
      </c>
    </row>
    <row r="25" spans="1:15">
      <c r="A25" s="88"/>
      <c r="B25" s="89"/>
      <c r="C25" s="88"/>
      <c r="D25" s="88"/>
      <c r="E25" s="109"/>
      <c r="F25" s="110"/>
      <c r="G25" s="109"/>
      <c r="H25" s="97"/>
      <c r="I25" s="109"/>
      <c r="J25" s="89"/>
      <c r="K25" s="89"/>
      <c r="L25" s="89"/>
      <c r="M25" s="89"/>
      <c r="N25" s="89"/>
      <c r="O25" s="89"/>
    </row>
    <row r="26" spans="1:15" ht="161">
      <c r="A26" s="106"/>
      <c r="C26" s="82" t="s">
        <v>95</v>
      </c>
      <c r="E26" s="83" t="s">
        <v>78</v>
      </c>
      <c r="F26" s="85" t="s">
        <v>76</v>
      </c>
      <c r="G26" s="83"/>
      <c r="H26" s="105" t="s">
        <v>125</v>
      </c>
      <c r="I26" s="105" t="s">
        <v>120</v>
      </c>
      <c r="J26" s="105"/>
      <c r="K26" s="98" t="s">
        <v>121</v>
      </c>
      <c r="L26" s="98" t="s">
        <v>108</v>
      </c>
      <c r="M26" s="84" t="s">
        <v>43</v>
      </c>
    </row>
    <row r="27" spans="1:15" ht="115">
      <c r="A27" s="106"/>
      <c r="C27" s="82" t="s">
        <v>96</v>
      </c>
      <c r="E27" s="83" t="s">
        <v>87</v>
      </c>
      <c r="F27" s="85" t="s">
        <v>92</v>
      </c>
      <c r="G27" s="83"/>
      <c r="H27" s="83" t="s">
        <v>88</v>
      </c>
      <c r="I27" s="83" t="s">
        <v>117</v>
      </c>
      <c r="J27" s="83"/>
      <c r="K27" s="98" t="s">
        <v>122</v>
      </c>
      <c r="L27" s="98" t="s">
        <v>108</v>
      </c>
    </row>
    <row r="28" spans="1:15" ht="115">
      <c r="A28" s="106"/>
      <c r="C28" s="82" t="s">
        <v>97</v>
      </c>
      <c r="E28" s="83" t="s">
        <v>89</v>
      </c>
      <c r="F28" s="85" t="s">
        <v>90</v>
      </c>
      <c r="G28" s="83"/>
      <c r="H28" s="83" t="s">
        <v>91</v>
      </c>
      <c r="I28" s="83" t="s">
        <v>118</v>
      </c>
      <c r="J28" s="83"/>
      <c r="K28" s="98" t="s">
        <v>126</v>
      </c>
      <c r="L28" s="98" t="s">
        <v>108</v>
      </c>
    </row>
    <row r="29" spans="1:15" ht="57.5">
      <c r="A29" s="106"/>
      <c r="C29" s="82" t="s">
        <v>98</v>
      </c>
      <c r="E29" s="83" t="s">
        <v>93</v>
      </c>
      <c r="F29" s="85" t="s">
        <v>123</v>
      </c>
      <c r="G29" s="83"/>
      <c r="H29" s="83" t="s">
        <v>94</v>
      </c>
      <c r="I29" s="83" t="s">
        <v>119</v>
      </c>
      <c r="J29" s="83"/>
      <c r="K29" s="98" t="s">
        <v>124</v>
      </c>
      <c r="L29" s="98" t="s">
        <v>108</v>
      </c>
    </row>
  </sheetData>
  <mergeCells count="2">
    <mergeCell ref="A1:E1"/>
    <mergeCell ref="A2:E2"/>
  </mergeCells>
  <dataValidations count="3">
    <dataValidation type="custom" showDropDown="1" showInputMessage="1" showErrorMessage="1" error="Do Not Remove" prompt="Do Not Remove" sqref="A10:XFD10">
      <formula1>"Do not remove"</formula1>
    </dataValidation>
    <dataValidation type="custom" showInputMessage="1" showErrorMessage="1" error="formula result - no data entry allowed" sqref="B3:C8">
      <formula1>"Formula result - no data entry allowed"</formula1>
    </dataValidation>
    <dataValidation type="list" allowBlank="1" showInputMessage="1" showErrorMessage="1" error="Pass, Fail or N/A are the only valid values for this field.  Select from the dropdown." sqref="M1:M9 M11:M61917">
      <formula1>"Pass,Fail,N/A"</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EF9811B6AD554EA06E0350CD9CA20F" ma:contentTypeVersion="5" ma:contentTypeDescription="Create a new document." ma:contentTypeScope="" ma:versionID="11a4aaf6190e07b19cbb4675f832c980">
  <xsd:schema xmlns:xsd="http://www.w3.org/2001/XMLSchema" xmlns:xs="http://www.w3.org/2001/XMLSchema" xmlns:p="http://schemas.microsoft.com/office/2006/metadata/properties" xmlns:ns2="a1691aef-cd45-439f-a0ae-5a5a53ef6779" xmlns:ns3="816f1990-e10c-4497-936c-59245418a27e" targetNamespace="http://schemas.microsoft.com/office/2006/metadata/properties" ma:root="true" ma:fieldsID="0d7c180e2991e3ec50a09b3b73423aa7" ns2:_="" ns3:_="">
    <xsd:import namespace="a1691aef-cd45-439f-a0ae-5a5a53ef6779"/>
    <xsd:import namespace="816f1990-e10c-4497-936c-59245418a27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691aef-cd45-439f-a0ae-5a5a53ef67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6f1990-e10c-4497-936c-59245418a27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8CA448B-F41F-43CC-A033-A414DC0CB6A7}">
  <ds:schemaRefs>
    <ds:schemaRef ds:uri="http://schemas.microsoft.com/sharepoint/v3/contenttype/forms"/>
  </ds:schemaRefs>
</ds:datastoreItem>
</file>

<file path=customXml/itemProps2.xml><?xml version="1.0" encoding="utf-8"?>
<ds:datastoreItem xmlns:ds="http://schemas.openxmlformats.org/officeDocument/2006/customXml" ds:itemID="{5202EBC9-20F8-43EC-958A-D219744040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691aef-cd45-439f-a0ae-5a5a53ef6779"/>
    <ds:schemaRef ds:uri="816f1990-e10c-4497-936c-59245418a2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76FEB0C-9B06-4D7C-B351-C2F34058EC0D}">
  <ds:schemaRefs>
    <ds:schemaRef ds:uri="http://purl.org/dc/dcmitype/"/>
    <ds:schemaRef ds:uri="http://schemas.microsoft.com/office/2006/metadata/properties"/>
    <ds:schemaRef ds:uri="a1691aef-cd45-439f-a0ae-5a5a53ef6779"/>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816f1990-e10c-4497-936c-59245418a27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Test Counts</vt:lpstr>
      <vt:lpstr>TS Cover Page</vt:lpstr>
      <vt:lpstr>T1 N2 Transaction</vt:lpstr>
      <vt:lpstr>'Test Counts'!Print_Area</vt:lpstr>
      <vt:lpstr>'TS Cover Page'!Print_Area</vt:lpstr>
      <vt:lpstr>'Test Counts'!Print_Titles</vt:lpstr>
      <vt:lpstr>'TS Cover Page'!Print_Titles</vt:lpstr>
    </vt:vector>
  </TitlesOfParts>
  <Manager/>
  <Company>Argus Health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Walker, Danielle</dc:creator>
  <cp:keywords/>
  <dc:description/>
  <cp:lastModifiedBy>Kondaveeti, Kranthi K</cp:lastModifiedBy>
  <cp:revision/>
  <dcterms:created xsi:type="dcterms:W3CDTF">2013-06-20T16:42:01Z</dcterms:created>
  <dcterms:modified xsi:type="dcterms:W3CDTF">2025-01-31T08:24:11Z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0x01010077EF9811B6AD554EA06E0350CD9CA20F</vt:lpwstr>
  </property>
</Properties>
</file>